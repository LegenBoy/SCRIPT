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C:\Users\gabriel.oliveira\Downloads\"/>
    </mc:Choice>
  </mc:AlternateContent>
  <xr:revisionPtr revIDLastSave="0" documentId="13_ncr:1_{20DB7CD6-3173-4DC2-AB15-3D3320DD8D3E}" xr6:coauthVersionLast="47" xr6:coauthVersionMax="47" xr10:uidLastSave="{00000000-0000-0000-0000-000000000000}"/>
  <bookViews>
    <workbookView xWindow="-20520" yWindow="-120" windowWidth="20640" windowHeight="11040" tabRatio="738" firstSheet="3" activeTab="3" xr2:uid="{00000000-000D-0000-FFFF-FFFF00000000}"/>
  </bookViews>
  <sheets>
    <sheet name="TEL. MADER" sheetId="17" state="hidden" r:id="rId1"/>
    <sheet name="TEL. VC CARGAS" sheetId="85" state="hidden" r:id="rId2"/>
    <sheet name="TEL OUTROS" sheetId="161" state="hidden" r:id="rId3"/>
    <sheet name="MODELO" sheetId="1818" r:id="rId4"/>
    <sheet name="BANCO DE DADOS" sheetId="498" state="hidden" r:id="rId5"/>
    <sheet name="IMPRESSÃO" sheetId="937" state="hidden" r:id="rId6"/>
    <sheet name="IMPRESSÃO-CAPA" sheetId="1676" state="hidden" r:id="rId7"/>
  </sheets>
  <externalReferences>
    <externalReference r:id="rId8"/>
    <externalReference r:id="rId9"/>
  </externalReferences>
  <definedNames>
    <definedName name="_xlnm._FilterDatabase" localSheetId="4" hidden="1">'BANCO DE DADOS'!$B$1:$D$237</definedName>
    <definedName name="_xlnm._FilterDatabase" localSheetId="1" hidden="1">'TEL. VC CARGAS'!$A$2:$E$2</definedName>
    <definedName name="_xlnm.Print_Area" localSheetId="5">IMPRESSÃO!$A$1:$T$364</definedName>
    <definedName name="_xlnm.Print_Area" localSheetId="6">'IMPRESSÃO-CAPA'!$A$1:$U$454</definedName>
    <definedName name="MOTORISTAS" localSheetId="5">'[1]BANCO DE DADOS'!$B$2:$B$126</definedName>
    <definedName name="MOTORISTAS" localSheetId="6">'[2]BANCO DE DADOS'!$B$2:$B$126</definedName>
    <definedName name="MOTORISTAS">'BANCO DE DADOS'!$B$2:$B$237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9" i="1676" l="1"/>
  <c r="N34" i="1676"/>
  <c r="I444" i="1676"/>
  <c r="I398" i="1676"/>
  <c r="I353" i="1676"/>
  <c r="I307" i="1676"/>
  <c r="I262" i="1676"/>
  <c r="I218" i="1676"/>
  <c r="I171" i="1676"/>
  <c r="I125" i="1676"/>
  <c r="I79" i="1676"/>
  <c r="I34" i="1676"/>
  <c r="D444" i="1676"/>
  <c r="D398" i="1676"/>
  <c r="D353" i="1676"/>
  <c r="D307" i="1676"/>
  <c r="D262" i="1676"/>
  <c r="D218" i="1676"/>
  <c r="D171" i="1676"/>
  <c r="D125" i="1676"/>
  <c r="D79" i="1676"/>
  <c r="D34" i="1676"/>
  <c r="C16" i="1676"/>
  <c r="C15" i="1676"/>
  <c r="C14" i="1676"/>
  <c r="C13" i="1676"/>
  <c r="C12" i="1676"/>
  <c r="C11" i="1676"/>
  <c r="C10" i="1676"/>
  <c r="B10" i="1676"/>
  <c r="B11" i="1676" s="1"/>
  <c r="B12" i="1676" s="1"/>
  <c r="B13" i="1676" s="1"/>
  <c r="B14" i="1676" s="1"/>
  <c r="B15" i="1676" s="1"/>
  <c r="B16" i="1676" s="1"/>
  <c r="C9" i="1676"/>
  <c r="C108" i="1676"/>
  <c r="C107" i="1676"/>
  <c r="C106" i="1676"/>
  <c r="C105" i="1676"/>
  <c r="C104" i="1676"/>
  <c r="C103" i="1676"/>
  <c r="C102" i="1676"/>
  <c r="C101" i="1676"/>
  <c r="B101" i="1676"/>
  <c r="B102" i="1676" s="1"/>
  <c r="B103" i="1676" s="1"/>
  <c r="B104" i="1676" s="1"/>
  <c r="B105" i="1676" s="1"/>
  <c r="B106" i="1676" s="1"/>
  <c r="B107" i="1676" s="1"/>
  <c r="B108" i="1676" s="1"/>
  <c r="C100" i="1676"/>
  <c r="C62" i="1676"/>
  <c r="C61" i="1676"/>
  <c r="C60" i="1676"/>
  <c r="C59" i="1676"/>
  <c r="C58" i="1676"/>
  <c r="C57" i="1676"/>
  <c r="C56" i="1676"/>
  <c r="C55" i="1676"/>
  <c r="B55" i="1676"/>
  <c r="B56" i="1676" s="1"/>
  <c r="B57" i="1676" s="1"/>
  <c r="B58" i="1676" s="1"/>
  <c r="B59" i="1676" s="1"/>
  <c r="B60" i="1676" s="1"/>
  <c r="B61" i="1676" s="1"/>
  <c r="B62" i="1676" s="1"/>
  <c r="C54" i="1676"/>
  <c r="C422" i="1676"/>
  <c r="C421" i="1676"/>
  <c r="C420" i="1676"/>
  <c r="B420" i="1676"/>
  <c r="B421" i="1676" s="1"/>
  <c r="B422" i="1676" s="1"/>
  <c r="C419" i="1676"/>
  <c r="C379" i="1676"/>
  <c r="C378" i="1676"/>
  <c r="C377" i="1676"/>
  <c r="C376" i="1676"/>
  <c r="C375" i="1676"/>
  <c r="C374" i="1676"/>
  <c r="B374" i="1676"/>
  <c r="B375" i="1676" s="1"/>
  <c r="B376" i="1676" s="1"/>
  <c r="B377" i="1676" s="1"/>
  <c r="B378" i="1676" s="1"/>
  <c r="B379" i="1676" s="1"/>
  <c r="C373" i="1676"/>
  <c r="C333" i="1676"/>
  <c r="C332" i="1676"/>
  <c r="C331" i="1676"/>
  <c r="C330" i="1676"/>
  <c r="C329" i="1676"/>
  <c r="B329" i="1676"/>
  <c r="B330" i="1676" s="1"/>
  <c r="B331" i="1676" s="1"/>
  <c r="B332" i="1676" s="1"/>
  <c r="B333" i="1676" s="1"/>
  <c r="C328" i="1676"/>
  <c r="C286" i="1676"/>
  <c r="C285" i="1676"/>
  <c r="C284" i="1676"/>
  <c r="C283" i="1676"/>
  <c r="B283" i="1676"/>
  <c r="B284" i="1676" s="1"/>
  <c r="B285" i="1676" s="1"/>
  <c r="B286" i="1676" s="1"/>
  <c r="C282" i="1676"/>
  <c r="C243" i="1676"/>
  <c r="C242" i="1676"/>
  <c r="C241" i="1676"/>
  <c r="C240" i="1676"/>
  <c r="C239" i="1676"/>
  <c r="C238" i="1676"/>
  <c r="B238" i="1676"/>
  <c r="B239" i="1676" s="1"/>
  <c r="B240" i="1676" s="1"/>
  <c r="B241" i="1676" s="1"/>
  <c r="B242" i="1676" s="1"/>
  <c r="B243" i="1676" s="1"/>
  <c r="C237" i="1676"/>
  <c r="C200" i="1676"/>
  <c r="C199" i="1676"/>
  <c r="C198" i="1676"/>
  <c r="C197" i="1676"/>
  <c r="C196" i="1676"/>
  <c r="C195" i="1676"/>
  <c r="C194" i="1676"/>
  <c r="B194" i="1676"/>
  <c r="B195" i="1676" s="1"/>
  <c r="B196" i="1676" s="1"/>
  <c r="B197" i="1676" s="1"/>
  <c r="B198" i="1676" s="1"/>
  <c r="B199" i="1676" s="1"/>
  <c r="B200" i="1676" s="1"/>
  <c r="C193" i="1676"/>
  <c r="C153" i="1676"/>
  <c r="C152" i="1676"/>
  <c r="C151" i="1676"/>
  <c r="C150" i="1676"/>
  <c r="C149" i="1676"/>
  <c r="C148" i="1676"/>
  <c r="C147" i="1676"/>
  <c r="B147" i="1676"/>
  <c r="B148" i="1676" s="1"/>
  <c r="B149" i="1676" s="1"/>
  <c r="B150" i="1676" s="1"/>
  <c r="B151" i="1676" s="1"/>
  <c r="B152" i="1676" s="1"/>
  <c r="B153" i="1676" s="1"/>
  <c r="C146" i="1676"/>
  <c r="M429" i="1676"/>
  <c r="M428" i="1676"/>
  <c r="M427" i="1676"/>
  <c r="M426" i="1676"/>
  <c r="M425" i="1676"/>
  <c r="M424" i="1676"/>
  <c r="M423" i="1676"/>
  <c r="M422" i="1676"/>
  <c r="M421" i="1676"/>
  <c r="M420" i="1676"/>
  <c r="L420" i="1676"/>
  <c r="L421" i="1676" s="1"/>
  <c r="L422" i="1676" s="1"/>
  <c r="L423" i="1676" s="1"/>
  <c r="L424" i="1676" s="1"/>
  <c r="L425" i="1676" s="1"/>
  <c r="L426" i="1676" s="1"/>
  <c r="L427" i="1676" s="1"/>
  <c r="L428" i="1676" s="1"/>
  <c r="L429" i="1676" s="1"/>
  <c r="M419" i="1676"/>
  <c r="M383" i="1676"/>
  <c r="M382" i="1676"/>
  <c r="M381" i="1676"/>
  <c r="M380" i="1676"/>
  <c r="M379" i="1676"/>
  <c r="M378" i="1676"/>
  <c r="M377" i="1676"/>
  <c r="M376" i="1676"/>
  <c r="M375" i="1676"/>
  <c r="M374" i="1676"/>
  <c r="L374" i="1676"/>
  <c r="L375" i="1676" s="1"/>
  <c r="L376" i="1676" s="1"/>
  <c r="L377" i="1676" s="1"/>
  <c r="L378" i="1676" s="1"/>
  <c r="L379" i="1676" s="1"/>
  <c r="L380" i="1676" s="1"/>
  <c r="L381" i="1676" s="1"/>
  <c r="L382" i="1676" s="1"/>
  <c r="L383" i="1676" s="1"/>
  <c r="M373" i="1676"/>
  <c r="M338" i="1676"/>
  <c r="M337" i="1676"/>
  <c r="M336" i="1676"/>
  <c r="M335" i="1676"/>
  <c r="M334" i="1676"/>
  <c r="M333" i="1676"/>
  <c r="M332" i="1676"/>
  <c r="M331" i="1676"/>
  <c r="M330" i="1676"/>
  <c r="M329" i="1676"/>
  <c r="L329" i="1676"/>
  <c r="L330" i="1676" s="1"/>
  <c r="L331" i="1676" s="1"/>
  <c r="L332" i="1676" s="1"/>
  <c r="L333" i="1676" s="1"/>
  <c r="L334" i="1676" s="1"/>
  <c r="L335" i="1676" s="1"/>
  <c r="L336" i="1676" s="1"/>
  <c r="L337" i="1676" s="1"/>
  <c r="L338" i="1676" s="1"/>
  <c r="M328" i="1676"/>
  <c r="M292" i="1676"/>
  <c r="M291" i="1676"/>
  <c r="M290" i="1676"/>
  <c r="M289" i="1676"/>
  <c r="M288" i="1676"/>
  <c r="M287" i="1676"/>
  <c r="M286" i="1676"/>
  <c r="M285" i="1676"/>
  <c r="M284" i="1676"/>
  <c r="M283" i="1676"/>
  <c r="L283" i="1676"/>
  <c r="L284" i="1676" s="1"/>
  <c r="L285" i="1676" s="1"/>
  <c r="L286" i="1676" s="1"/>
  <c r="L287" i="1676" s="1"/>
  <c r="L288" i="1676" s="1"/>
  <c r="L289" i="1676" s="1"/>
  <c r="L290" i="1676" s="1"/>
  <c r="L291" i="1676" s="1"/>
  <c r="L292" i="1676" s="1"/>
  <c r="M282" i="1676"/>
  <c r="M247" i="1676"/>
  <c r="M246" i="1676"/>
  <c r="M245" i="1676"/>
  <c r="M244" i="1676"/>
  <c r="M243" i="1676"/>
  <c r="M242" i="1676"/>
  <c r="M241" i="1676"/>
  <c r="M240" i="1676"/>
  <c r="M239" i="1676"/>
  <c r="M238" i="1676"/>
  <c r="L238" i="1676"/>
  <c r="L239" i="1676" s="1"/>
  <c r="L240" i="1676" s="1"/>
  <c r="L241" i="1676" s="1"/>
  <c r="L242" i="1676" s="1"/>
  <c r="L243" i="1676" s="1"/>
  <c r="L244" i="1676" s="1"/>
  <c r="L245" i="1676" s="1"/>
  <c r="L246" i="1676" s="1"/>
  <c r="L247" i="1676" s="1"/>
  <c r="M237" i="1676"/>
  <c r="M203" i="1676"/>
  <c r="M202" i="1676"/>
  <c r="M201" i="1676"/>
  <c r="M200" i="1676"/>
  <c r="M199" i="1676"/>
  <c r="M198" i="1676"/>
  <c r="M197" i="1676"/>
  <c r="M196" i="1676"/>
  <c r="M195" i="1676"/>
  <c r="M194" i="1676"/>
  <c r="L194" i="1676"/>
  <c r="L195" i="1676" s="1"/>
  <c r="L196" i="1676" s="1"/>
  <c r="L197" i="1676" s="1"/>
  <c r="L198" i="1676" s="1"/>
  <c r="L199" i="1676" s="1"/>
  <c r="L200" i="1676" s="1"/>
  <c r="L201" i="1676" s="1"/>
  <c r="L202" i="1676" s="1"/>
  <c r="L203" i="1676" s="1"/>
  <c r="M193" i="1676"/>
  <c r="M156" i="1676"/>
  <c r="M155" i="1676"/>
  <c r="M154" i="1676"/>
  <c r="M153" i="1676"/>
  <c r="M152" i="1676"/>
  <c r="M151" i="1676"/>
  <c r="M150" i="1676"/>
  <c r="M149" i="1676"/>
  <c r="M148" i="1676"/>
  <c r="M147" i="1676"/>
  <c r="L147" i="1676"/>
  <c r="L148" i="1676" s="1"/>
  <c r="L149" i="1676" s="1"/>
  <c r="L150" i="1676" s="1"/>
  <c r="L151" i="1676" s="1"/>
  <c r="L152" i="1676" s="1"/>
  <c r="L153" i="1676" s="1"/>
  <c r="L154" i="1676" s="1"/>
  <c r="L155" i="1676" s="1"/>
  <c r="L156" i="1676" s="1"/>
  <c r="M146" i="1676"/>
  <c r="M110" i="1676"/>
  <c r="M109" i="1676"/>
  <c r="M108" i="1676"/>
  <c r="M107" i="1676"/>
  <c r="M106" i="1676"/>
  <c r="M105" i="1676"/>
  <c r="M104" i="1676"/>
  <c r="M103" i="1676"/>
  <c r="M102" i="1676"/>
  <c r="M101" i="1676"/>
  <c r="L101" i="1676"/>
  <c r="L102" i="1676" s="1"/>
  <c r="L103" i="1676" s="1"/>
  <c r="L104" i="1676" s="1"/>
  <c r="L105" i="1676" s="1"/>
  <c r="L106" i="1676" s="1"/>
  <c r="L107" i="1676" s="1"/>
  <c r="L108" i="1676" s="1"/>
  <c r="L109" i="1676" s="1"/>
  <c r="L110" i="1676" s="1"/>
  <c r="M100" i="1676"/>
  <c r="M55" i="1676"/>
  <c r="L55" i="1676"/>
  <c r="M54" i="1676"/>
  <c r="M10" i="1676"/>
  <c r="L10" i="1676"/>
  <c r="M9" i="1676"/>
  <c r="H424" i="1676"/>
  <c r="H423" i="1676"/>
  <c r="H422" i="1676"/>
  <c r="H421" i="1676"/>
  <c r="H420" i="1676"/>
  <c r="G420" i="1676"/>
  <c r="G421" i="1676" s="1"/>
  <c r="G422" i="1676" s="1"/>
  <c r="G423" i="1676" s="1"/>
  <c r="G424" i="1676" s="1"/>
  <c r="H419" i="1676"/>
  <c r="H376" i="1676"/>
  <c r="H375" i="1676"/>
  <c r="H374" i="1676"/>
  <c r="G374" i="1676"/>
  <c r="G375" i="1676" s="1"/>
  <c r="G376" i="1676" s="1"/>
  <c r="H373" i="1676"/>
  <c r="H331" i="1676"/>
  <c r="H330" i="1676"/>
  <c r="H329" i="1676"/>
  <c r="G329" i="1676"/>
  <c r="G330" i="1676" s="1"/>
  <c r="G331" i="1676" s="1"/>
  <c r="H328" i="1676"/>
  <c r="H284" i="1676"/>
  <c r="H283" i="1676"/>
  <c r="G283" i="1676"/>
  <c r="G284" i="1676" s="1"/>
  <c r="H282" i="1676"/>
  <c r="H242" i="1676"/>
  <c r="H241" i="1676"/>
  <c r="H240" i="1676"/>
  <c r="H239" i="1676"/>
  <c r="H238" i="1676"/>
  <c r="G238" i="1676"/>
  <c r="G239" i="1676" s="1"/>
  <c r="G240" i="1676" s="1"/>
  <c r="G241" i="1676" s="1"/>
  <c r="G242" i="1676" s="1"/>
  <c r="H237" i="1676"/>
  <c r="H194" i="1676"/>
  <c r="G194" i="1676"/>
  <c r="H193" i="1676"/>
  <c r="H148" i="1676"/>
  <c r="H147" i="1676"/>
  <c r="G147" i="1676"/>
  <c r="G148" i="1676" s="1"/>
  <c r="H146" i="1676"/>
  <c r="H101" i="1676"/>
  <c r="G101" i="1676"/>
  <c r="H100" i="1676"/>
  <c r="H55" i="1676"/>
  <c r="G55" i="1676"/>
  <c r="H54" i="1676"/>
  <c r="H11" i="1676"/>
  <c r="H10" i="1676"/>
  <c r="G10" i="1676"/>
  <c r="G11" i="1676" s="1"/>
  <c r="H9" i="1676"/>
  <c r="S419" i="1676"/>
  <c r="R420" i="1676"/>
  <c r="S420" i="1676"/>
  <c r="R421" i="1676"/>
  <c r="S421" i="1676"/>
  <c r="R422" i="1676"/>
  <c r="S422" i="1676"/>
  <c r="R423" i="1676"/>
  <c r="S423" i="1676"/>
  <c r="R424" i="1676"/>
  <c r="S424" i="1676"/>
  <c r="R425" i="1676"/>
  <c r="S425" i="1676"/>
  <c r="R426" i="1676"/>
  <c r="S426" i="1676"/>
  <c r="R427" i="1676"/>
  <c r="S427" i="1676"/>
  <c r="R428" i="1676"/>
  <c r="S428" i="1676"/>
  <c r="R429" i="1676"/>
  <c r="S429" i="1676"/>
  <c r="S373" i="1676"/>
  <c r="R374" i="1676"/>
  <c r="S374" i="1676"/>
  <c r="R375" i="1676"/>
  <c r="S375" i="1676"/>
  <c r="R376" i="1676"/>
  <c r="S376" i="1676"/>
  <c r="R377" i="1676"/>
  <c r="S377" i="1676"/>
  <c r="R378" i="1676"/>
  <c r="S378" i="1676"/>
  <c r="R379" i="1676"/>
  <c r="S379" i="1676"/>
  <c r="R380" i="1676"/>
  <c r="S380" i="1676"/>
  <c r="R381" i="1676"/>
  <c r="S381" i="1676"/>
  <c r="R382" i="1676"/>
  <c r="S382" i="1676"/>
  <c r="R383" i="1676"/>
  <c r="S383" i="1676"/>
  <c r="S328" i="1676"/>
  <c r="R329" i="1676"/>
  <c r="S329" i="1676"/>
  <c r="R330" i="1676"/>
  <c r="S330" i="1676"/>
  <c r="R331" i="1676"/>
  <c r="S331" i="1676"/>
  <c r="R332" i="1676"/>
  <c r="S332" i="1676"/>
  <c r="R333" i="1676"/>
  <c r="S333" i="1676"/>
  <c r="R334" i="1676"/>
  <c r="S334" i="1676"/>
  <c r="R335" i="1676"/>
  <c r="S335" i="1676"/>
  <c r="R336" i="1676"/>
  <c r="S336" i="1676"/>
  <c r="R337" i="1676"/>
  <c r="S337" i="1676"/>
  <c r="R338" i="1676"/>
  <c r="S338" i="1676"/>
  <c r="S282" i="1676"/>
  <c r="R283" i="1676"/>
  <c r="S283" i="1676"/>
  <c r="R284" i="1676"/>
  <c r="S284" i="1676"/>
  <c r="R285" i="1676"/>
  <c r="S285" i="1676"/>
  <c r="R286" i="1676"/>
  <c r="S286" i="1676"/>
  <c r="R287" i="1676"/>
  <c r="S287" i="1676"/>
  <c r="R288" i="1676"/>
  <c r="S288" i="1676"/>
  <c r="R289" i="1676"/>
  <c r="S289" i="1676"/>
  <c r="R290" i="1676"/>
  <c r="S290" i="1676"/>
  <c r="R291" i="1676"/>
  <c r="S291" i="1676"/>
  <c r="R292" i="1676"/>
  <c r="S292" i="1676"/>
  <c r="S237" i="1676"/>
  <c r="R238" i="1676"/>
  <c r="S238" i="1676"/>
  <c r="R239" i="1676"/>
  <c r="S239" i="1676"/>
  <c r="R240" i="1676"/>
  <c r="S240" i="1676"/>
  <c r="R241" i="1676"/>
  <c r="S241" i="1676"/>
  <c r="R242" i="1676"/>
  <c r="S242" i="1676"/>
  <c r="R243" i="1676"/>
  <c r="S243" i="1676"/>
  <c r="R244" i="1676"/>
  <c r="S244" i="1676"/>
  <c r="R245" i="1676"/>
  <c r="S245" i="1676"/>
  <c r="R246" i="1676"/>
  <c r="S246" i="1676"/>
  <c r="R247" i="1676"/>
  <c r="S247" i="1676"/>
  <c r="S193" i="1676"/>
  <c r="R194" i="1676"/>
  <c r="S194" i="1676"/>
  <c r="R195" i="1676"/>
  <c r="S195" i="1676"/>
  <c r="R196" i="1676"/>
  <c r="S196" i="1676"/>
  <c r="R197" i="1676"/>
  <c r="S197" i="1676"/>
  <c r="R198" i="1676"/>
  <c r="S198" i="1676"/>
  <c r="R199" i="1676"/>
  <c r="S199" i="1676"/>
  <c r="R200" i="1676"/>
  <c r="S200" i="1676"/>
  <c r="R201" i="1676"/>
  <c r="S201" i="1676"/>
  <c r="R202" i="1676"/>
  <c r="S202" i="1676"/>
  <c r="R203" i="1676"/>
  <c r="S203" i="1676"/>
  <c r="S146" i="1676"/>
  <c r="R147" i="1676"/>
  <c r="S147" i="1676"/>
  <c r="R148" i="1676"/>
  <c r="S148" i="1676"/>
  <c r="R149" i="1676"/>
  <c r="S149" i="1676"/>
  <c r="R150" i="1676"/>
  <c r="S150" i="1676"/>
  <c r="R151" i="1676"/>
  <c r="S151" i="1676"/>
  <c r="R152" i="1676"/>
  <c r="S152" i="1676"/>
  <c r="R153" i="1676"/>
  <c r="S153" i="1676"/>
  <c r="R154" i="1676"/>
  <c r="S154" i="1676"/>
  <c r="R155" i="1676"/>
  <c r="S155" i="1676"/>
  <c r="R156" i="1676"/>
  <c r="S156" i="1676"/>
  <c r="S100" i="1676"/>
  <c r="R101" i="1676"/>
  <c r="S101" i="1676"/>
  <c r="R102" i="1676"/>
  <c r="S102" i="1676"/>
  <c r="R103" i="1676"/>
  <c r="S103" i="1676"/>
  <c r="R104" i="1676"/>
  <c r="S104" i="1676"/>
  <c r="R105" i="1676"/>
  <c r="S105" i="1676"/>
  <c r="R106" i="1676"/>
  <c r="S106" i="1676"/>
  <c r="R107" i="1676"/>
  <c r="S107" i="1676"/>
  <c r="R108" i="1676"/>
  <c r="S108" i="1676"/>
  <c r="R109" i="1676"/>
  <c r="S109" i="1676"/>
  <c r="R110" i="1676"/>
  <c r="S110" i="1676"/>
  <c r="R55" i="1676"/>
  <c r="S9" i="1676"/>
  <c r="R10" i="1676"/>
  <c r="S10" i="1676"/>
  <c r="R11" i="1676"/>
  <c r="S11" i="1676"/>
  <c r="R12" i="1676"/>
  <c r="S12" i="1676"/>
  <c r="R13" i="1676"/>
  <c r="S13" i="1676"/>
  <c r="R14" i="1676"/>
  <c r="S14" i="1676"/>
  <c r="R15" i="1676"/>
  <c r="S15" i="1676"/>
  <c r="R16" i="1676"/>
  <c r="S16" i="1676"/>
  <c r="R17" i="1676"/>
  <c r="S17" i="1676"/>
  <c r="R18" i="1676"/>
  <c r="S18" i="1676"/>
  <c r="R19" i="1676"/>
  <c r="S19" i="167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jessica.souza</author>
  </authors>
  <commentList>
    <comment ref="C2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jessica.souza:</t>
        </r>
        <r>
          <rPr>
            <sz val="9"/>
            <color indexed="81"/>
            <rFont val="Tahoma"/>
            <family val="2"/>
          </rPr>
          <t xml:space="preserve">
25M³</t>
        </r>
      </text>
    </comment>
    <comment ref="C23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jessica.souza:</t>
        </r>
        <r>
          <rPr>
            <sz val="9"/>
            <color indexed="81"/>
            <rFont val="Tahoma"/>
            <family val="2"/>
          </rPr>
          <t xml:space="preserve">
33m³</t>
        </r>
      </text>
    </comment>
    <comment ref="C24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jessica.souza:</t>
        </r>
        <r>
          <rPr>
            <sz val="9"/>
            <color indexed="81"/>
            <rFont val="Tahoma"/>
            <family val="2"/>
          </rPr>
          <t xml:space="preserve">
50m³</t>
        </r>
      </text>
    </comment>
    <comment ref="C25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jessica.souza:</t>
        </r>
        <r>
          <rPr>
            <sz val="9"/>
            <color indexed="81"/>
            <rFont val="Tahoma"/>
            <family val="2"/>
          </rPr>
          <t xml:space="preserve">
37m³</t>
        </r>
      </text>
    </comment>
    <comment ref="C26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jessica.souza:</t>
        </r>
        <r>
          <rPr>
            <sz val="9"/>
            <color indexed="81"/>
            <rFont val="Tahoma"/>
            <family val="2"/>
          </rPr>
          <t xml:space="preserve">
45m³</t>
        </r>
      </text>
    </comment>
  </commentList>
</comments>
</file>

<file path=xl/sharedStrings.xml><?xml version="1.0" encoding="utf-8"?>
<sst xmlns="http://schemas.openxmlformats.org/spreadsheetml/2006/main" count="1709" uniqueCount="1006">
  <si>
    <t>Motorista</t>
  </si>
  <si>
    <t>Placa</t>
  </si>
  <si>
    <t>Telefone</t>
  </si>
  <si>
    <t>ADEVANIO</t>
  </si>
  <si>
    <t>(34) 9 9168-8833</t>
  </si>
  <si>
    <t>ALTAIR</t>
  </si>
  <si>
    <t>HJZ-2920</t>
  </si>
  <si>
    <t>(34) 9 9118-4242</t>
  </si>
  <si>
    <t>ANDRÉ L.</t>
  </si>
  <si>
    <t>GWI-9577</t>
  </si>
  <si>
    <t>(34) 9 9186-0201</t>
  </si>
  <si>
    <t>ANDRÉ D</t>
  </si>
  <si>
    <t>HHI-5839</t>
  </si>
  <si>
    <t>(34) 9 9159-1001</t>
  </si>
  <si>
    <t>ANTONIO</t>
  </si>
  <si>
    <t>HOA-0784</t>
  </si>
  <si>
    <t>(34) 9 9232-5790</t>
  </si>
  <si>
    <t>ARNALDO</t>
  </si>
  <si>
    <t>(34) 9 9903-9480</t>
  </si>
  <si>
    <t>BRUNO</t>
  </si>
  <si>
    <t>HIJ-5221</t>
  </si>
  <si>
    <t>(34) 9 9288-0189</t>
  </si>
  <si>
    <t>BRUNO S.</t>
  </si>
  <si>
    <t>HHI-5840</t>
  </si>
  <si>
    <t>(34) 9 9190-4446</t>
  </si>
  <si>
    <t>CASSIO</t>
  </si>
  <si>
    <t>OOY-7533</t>
  </si>
  <si>
    <t>(34) 9 9198-7698</t>
  </si>
  <si>
    <t>CASSIANO</t>
  </si>
  <si>
    <t>(34) 9 9212-8632</t>
  </si>
  <si>
    <t>CLARICINDO</t>
  </si>
  <si>
    <t>HEU-1513</t>
  </si>
  <si>
    <t>(34) 9 9256-7176</t>
  </si>
  <si>
    <t>CLÉRIO</t>
  </si>
  <si>
    <t>GWI-9546</t>
  </si>
  <si>
    <t>(34) 9 9121-1943</t>
  </si>
  <si>
    <t>CRISTIANO</t>
  </si>
  <si>
    <t>HHI-5836</t>
  </si>
  <si>
    <t>(34) 9 9301-0042</t>
  </si>
  <si>
    <t>DANIEL</t>
  </si>
  <si>
    <t>(34) 9 9216-0161</t>
  </si>
  <si>
    <t>DANILO</t>
  </si>
  <si>
    <t>HIJ-5226</t>
  </si>
  <si>
    <t>(34) 9 9175-8193</t>
  </si>
  <si>
    <t>DENILSON</t>
  </si>
  <si>
    <t>GVE-7080</t>
  </si>
  <si>
    <t>(34) 9 8402-4418</t>
  </si>
  <si>
    <t>EDI</t>
  </si>
  <si>
    <t>(34) 9 9175-8190</t>
  </si>
  <si>
    <t>EDINEOR</t>
  </si>
  <si>
    <t>HJW-4471</t>
  </si>
  <si>
    <t>(34) 9 9152-0629</t>
  </si>
  <si>
    <t>EDILSON</t>
  </si>
  <si>
    <t>(34) 9 9222-7758</t>
  </si>
  <si>
    <t>EDSON (JESUS)</t>
  </si>
  <si>
    <t>HBG-1803</t>
  </si>
  <si>
    <t>(34) 9 9242-6453</t>
  </si>
  <si>
    <t>EDUARDO</t>
  </si>
  <si>
    <t>OOY-7524</t>
  </si>
  <si>
    <t>(34) 9 9271-1118</t>
  </si>
  <si>
    <t>EDUARDO B</t>
  </si>
  <si>
    <t>(34) 9 8824-2354</t>
  </si>
  <si>
    <t>EDVALDO</t>
  </si>
  <si>
    <t>OPT-3302</t>
  </si>
  <si>
    <t>(34) 9 9234-4734</t>
  </si>
  <si>
    <t>EVALDO</t>
  </si>
  <si>
    <t>(34) 9 9161-5683</t>
  </si>
  <si>
    <t>FÁBIO</t>
  </si>
  <si>
    <t>OPT-3328</t>
  </si>
  <si>
    <t>(34) 9 9300-1819</t>
  </si>
  <si>
    <t>FERNANDO</t>
  </si>
  <si>
    <t>GWI-9926</t>
  </si>
  <si>
    <t>(34) 9 9986-0507</t>
  </si>
  <si>
    <t>FLAVIO P.</t>
  </si>
  <si>
    <t>HIJ-5296</t>
  </si>
  <si>
    <t>(34) 9 9133-9990</t>
  </si>
  <si>
    <t>GLAYDSON</t>
  </si>
  <si>
    <t>HIJ-5039</t>
  </si>
  <si>
    <t>(34) 9 9132-2991</t>
  </si>
  <si>
    <t>GUILHERME</t>
  </si>
  <si>
    <t>(34) 9 9143-2694</t>
  </si>
  <si>
    <t>HERMENEGILDO</t>
  </si>
  <si>
    <t>OOY-7530</t>
  </si>
  <si>
    <t>IGOR</t>
  </si>
  <si>
    <t>(34) 9 9144-5373</t>
  </si>
  <si>
    <t>ITALO</t>
  </si>
  <si>
    <t>(34) 9 9210-5908</t>
  </si>
  <si>
    <t>J. EDUARDO</t>
  </si>
  <si>
    <t>DVS-8940</t>
  </si>
  <si>
    <t>(34) 9 9804-4994</t>
  </si>
  <si>
    <t>J.CARLOS</t>
  </si>
  <si>
    <t>HBN-0604</t>
  </si>
  <si>
    <t>(34) 9 9277-7909</t>
  </si>
  <si>
    <t>JADSON</t>
  </si>
  <si>
    <t>(34) 9 9115-7136</t>
  </si>
  <si>
    <t>JAERTO</t>
  </si>
  <si>
    <t>(34) 9 9216-0157</t>
  </si>
  <si>
    <t>JESUS</t>
  </si>
  <si>
    <t>(34) 9 9199-6958</t>
  </si>
  <si>
    <t>JOAO VARGAS</t>
  </si>
  <si>
    <t>HJZ-2926</t>
  </si>
  <si>
    <t>(34) 9 9206-3531</t>
  </si>
  <si>
    <t>JOSE ROBERTO</t>
  </si>
  <si>
    <t>(37) 9 9115-2806</t>
  </si>
  <si>
    <t>JORGE</t>
  </si>
  <si>
    <t>(34) 9 9149-3866</t>
  </si>
  <si>
    <t>JULIANO</t>
  </si>
  <si>
    <t>(34) 9 9192-8946</t>
  </si>
  <si>
    <t>JUNIO</t>
  </si>
  <si>
    <t>(34) 9 9172-4851</t>
  </si>
  <si>
    <t>LIOMAR</t>
  </si>
  <si>
    <t>(34) 9 9175-2990</t>
  </si>
  <si>
    <t>LIVANO</t>
  </si>
  <si>
    <t>(34) 9 9186-0111</t>
  </si>
  <si>
    <t>LUIS MARCIO</t>
  </si>
  <si>
    <t>OOY-7538</t>
  </si>
  <si>
    <t>(34) 9 9216-0129</t>
  </si>
  <si>
    <t>LUIS FERNANDO</t>
  </si>
  <si>
    <t>KAK-9386</t>
  </si>
  <si>
    <t>(34) 9 9203-5141</t>
  </si>
  <si>
    <t>MARCIO</t>
  </si>
  <si>
    <t>(34) 9 9175-7800</t>
  </si>
  <si>
    <t>MARCO ANTONIO</t>
  </si>
  <si>
    <t>(34) 9 9910-7356</t>
  </si>
  <si>
    <t>MARCOS DANIEL</t>
  </si>
  <si>
    <t>(34) 9 9111-5608</t>
  </si>
  <si>
    <t>MAURICIO</t>
  </si>
  <si>
    <t>OPT-3308</t>
  </si>
  <si>
    <t>(34) 9 9271-1119</t>
  </si>
  <si>
    <t>MAZANE</t>
  </si>
  <si>
    <t>(34) 9 9175-4941</t>
  </si>
  <si>
    <t>MESSIAS</t>
  </si>
  <si>
    <t>(34) 9 9121-9573</t>
  </si>
  <si>
    <t>MILTON</t>
  </si>
  <si>
    <t>OPT-3306</t>
  </si>
  <si>
    <t>(34) 9 9233-2062</t>
  </si>
  <si>
    <t>MORAIS</t>
  </si>
  <si>
    <t>(34) 9 9121-7667</t>
  </si>
  <si>
    <t>OSVALDO</t>
  </si>
  <si>
    <t>(32) 9 9100-3750</t>
  </si>
  <si>
    <t>PAULO H.</t>
  </si>
  <si>
    <t>HHI-5831</t>
  </si>
  <si>
    <t>(34) 9 9209-8460</t>
  </si>
  <si>
    <t>PEDRO</t>
  </si>
  <si>
    <t>HIJ-5182</t>
  </si>
  <si>
    <t>(34) 9 8899-9343</t>
  </si>
  <si>
    <t>RODRIGO</t>
  </si>
  <si>
    <t>GWI-9348</t>
  </si>
  <si>
    <t>(34) 9 9195-5137</t>
  </si>
  <si>
    <t>ROMINHO</t>
  </si>
  <si>
    <t>(34) 9 8897-9353</t>
  </si>
  <si>
    <t>SEBASTIÃO</t>
  </si>
  <si>
    <t>OOY-7518</t>
  </si>
  <si>
    <t>(34) 9 8404-5579</t>
  </si>
  <si>
    <t>SIRLEI</t>
  </si>
  <si>
    <t>(34) 9 9154-2409</t>
  </si>
  <si>
    <t>UESLEI</t>
  </si>
  <si>
    <t>OPT-3312</t>
  </si>
  <si>
    <t>(34) 9 9192-5291</t>
  </si>
  <si>
    <t>VALDENILSON</t>
  </si>
  <si>
    <t>(34) 9 9251-3935</t>
  </si>
  <si>
    <t>VERIDIO</t>
  </si>
  <si>
    <t>(34) 9 9175-6772</t>
  </si>
  <si>
    <t>WILLIAN</t>
  </si>
  <si>
    <t>(34) 9 9133-0243</t>
  </si>
  <si>
    <t>HADILSON</t>
  </si>
  <si>
    <t>(34) 9 8834-5899</t>
  </si>
  <si>
    <t>jose alberto</t>
  </si>
  <si>
    <t>(34) 9 9986-6360</t>
  </si>
  <si>
    <t>OPERAÇÃO ZEMA</t>
  </si>
  <si>
    <t>OPERAÇÃO</t>
  </si>
  <si>
    <t>ZEMA</t>
  </si>
  <si>
    <t>FROTA</t>
  </si>
  <si>
    <t>VIVO</t>
  </si>
  <si>
    <t>Mateus</t>
  </si>
  <si>
    <t>CSK-6109</t>
  </si>
  <si>
    <t>9246-6679</t>
  </si>
  <si>
    <t>9984-0190</t>
  </si>
  <si>
    <t>Selio</t>
  </si>
  <si>
    <t>HHI-5833</t>
  </si>
  <si>
    <t>8810-5253</t>
  </si>
  <si>
    <t>9922-9502</t>
  </si>
  <si>
    <t>Julio</t>
  </si>
  <si>
    <t>HHI-5834</t>
  </si>
  <si>
    <t>9259-5180</t>
  </si>
  <si>
    <t>9919-5498</t>
  </si>
  <si>
    <t>Fernando Al.</t>
  </si>
  <si>
    <t>HHI-5835</t>
  </si>
  <si>
    <t>8899-6065</t>
  </si>
  <si>
    <t>9909-5962</t>
  </si>
  <si>
    <t>Adriano</t>
  </si>
  <si>
    <t>HHI-5837</t>
  </si>
  <si>
    <t>9157-6689</t>
  </si>
  <si>
    <t>9841-7639</t>
  </si>
  <si>
    <t>Cleiton</t>
  </si>
  <si>
    <t>HHI-5838</t>
  </si>
  <si>
    <t>8885-3134</t>
  </si>
  <si>
    <t>9838-4588</t>
  </si>
  <si>
    <t>Diego</t>
  </si>
  <si>
    <t>OLO-7407</t>
  </si>
  <si>
    <t>8869-9439</t>
  </si>
  <si>
    <t>9835-8925</t>
  </si>
  <si>
    <t>Otávio</t>
  </si>
  <si>
    <t>OLO-7431</t>
  </si>
  <si>
    <t>8820-1040</t>
  </si>
  <si>
    <t>9832-0955</t>
  </si>
  <si>
    <t>Leonardo</t>
  </si>
  <si>
    <t>OLO-7446</t>
  </si>
  <si>
    <t>35.9136-4696</t>
  </si>
  <si>
    <t>9981-0854</t>
  </si>
  <si>
    <t>Flávio</t>
  </si>
  <si>
    <t>OLO-7457</t>
  </si>
  <si>
    <t>9195-5184</t>
  </si>
  <si>
    <t>Fernando Ap</t>
  </si>
  <si>
    <t>OLO-7986</t>
  </si>
  <si>
    <t>9206-6957</t>
  </si>
  <si>
    <t>9935-6902</t>
  </si>
  <si>
    <t>Fredson</t>
  </si>
  <si>
    <t>OLO-8004</t>
  </si>
  <si>
    <t>8853-2816</t>
  </si>
  <si>
    <t>9814-1519</t>
  </si>
  <si>
    <t>Cristiano</t>
  </si>
  <si>
    <t>OLO-8015</t>
  </si>
  <si>
    <t>8871-4624</t>
  </si>
  <si>
    <t>9946-9287</t>
  </si>
  <si>
    <t>Marcio Z.</t>
  </si>
  <si>
    <t>PUG-8722</t>
  </si>
  <si>
    <t>9910-2827</t>
  </si>
  <si>
    <t>9808-9374</t>
  </si>
  <si>
    <t>Belchior</t>
  </si>
  <si>
    <t>PUG-8680</t>
  </si>
  <si>
    <t>9950-8953</t>
  </si>
  <si>
    <t>9804-7646</t>
  </si>
  <si>
    <t>Marciano</t>
  </si>
  <si>
    <t>PUG-8711</t>
  </si>
  <si>
    <t>8834-8654</t>
  </si>
  <si>
    <t>9802-6714</t>
  </si>
  <si>
    <t>Juliano</t>
  </si>
  <si>
    <t>PUG-8745</t>
  </si>
  <si>
    <t>9321-5363</t>
  </si>
  <si>
    <t>9800-9410</t>
  </si>
  <si>
    <t>Devanir</t>
  </si>
  <si>
    <t>PUG-8717</t>
  </si>
  <si>
    <t>9233-9484</t>
  </si>
  <si>
    <t>9988-3868</t>
  </si>
  <si>
    <t>Jaime</t>
  </si>
  <si>
    <t>PUG-8700</t>
  </si>
  <si>
    <t>9177-6507</t>
  </si>
  <si>
    <t>9987-7674</t>
  </si>
  <si>
    <t>Junio</t>
  </si>
  <si>
    <t>PUG-8701</t>
  </si>
  <si>
    <t>8830-5681</t>
  </si>
  <si>
    <t>9923-5604</t>
  </si>
  <si>
    <t>Alexandre</t>
  </si>
  <si>
    <t>PUG-8728</t>
  </si>
  <si>
    <t>9232-4986</t>
  </si>
  <si>
    <t>9822-8535</t>
  </si>
  <si>
    <t>Baltazar</t>
  </si>
  <si>
    <t>PUG-8689</t>
  </si>
  <si>
    <t>9230-7861</t>
  </si>
  <si>
    <t>9932-2690</t>
  </si>
  <si>
    <t>Rodrigo L.</t>
  </si>
  <si>
    <t>PUG-8688</t>
  </si>
  <si>
    <t>8809-2135</t>
  </si>
  <si>
    <t>9935-1228</t>
  </si>
  <si>
    <t>Neuber</t>
  </si>
  <si>
    <t>PUG-8730</t>
  </si>
  <si>
    <t>9948-8637</t>
  </si>
  <si>
    <t>Rodrigo S.</t>
  </si>
  <si>
    <t>PUG-8683</t>
  </si>
  <si>
    <t>8803-4013</t>
  </si>
  <si>
    <t>9943-3455</t>
  </si>
  <si>
    <t>Bruno R.</t>
  </si>
  <si>
    <t>HIJ-5268</t>
  </si>
  <si>
    <t>9840-3238</t>
  </si>
  <si>
    <t>9983-8424</t>
  </si>
  <si>
    <t>Claudio</t>
  </si>
  <si>
    <t>HIJ-5288</t>
  </si>
  <si>
    <t>9146-4069</t>
  </si>
  <si>
    <t>9819-9270</t>
  </si>
  <si>
    <t>PUG-4401</t>
  </si>
  <si>
    <t>Donizete</t>
  </si>
  <si>
    <t>PUG-8650</t>
  </si>
  <si>
    <t>9804-8156</t>
  </si>
  <si>
    <t>9959-4015</t>
  </si>
  <si>
    <t>PUG-4394</t>
  </si>
  <si>
    <t>PUG-4407</t>
  </si>
  <si>
    <t>PUG-8658</t>
  </si>
  <si>
    <t>Edcarlos</t>
  </si>
  <si>
    <t>OPS-1275</t>
  </si>
  <si>
    <t>9637-1059</t>
  </si>
  <si>
    <t>9166-1725</t>
  </si>
  <si>
    <t>PUG-4388</t>
  </si>
  <si>
    <t>PUG-4411</t>
  </si>
  <si>
    <t>ALINE</t>
  </si>
  <si>
    <t>9800-2878</t>
  </si>
  <si>
    <t>FLÁVIO</t>
  </si>
  <si>
    <t>9838-9005</t>
  </si>
  <si>
    <t>FÉRIAS</t>
  </si>
  <si>
    <t>Alex Sandro</t>
  </si>
  <si>
    <t>9129-9665</t>
  </si>
  <si>
    <t>9826-6787</t>
  </si>
  <si>
    <t>MOTORISTA</t>
  </si>
  <si>
    <t>PLACA</t>
  </si>
  <si>
    <t>TRANSPORTADORA</t>
  </si>
  <si>
    <t>TELEFONE</t>
  </si>
  <si>
    <t>Frederico</t>
  </si>
  <si>
    <t>Acorinte</t>
  </si>
  <si>
    <t>(35) 9 9209-9790</t>
  </si>
  <si>
    <t>Valmir</t>
  </si>
  <si>
    <t>(35) 9 9836-2588</t>
  </si>
  <si>
    <t>BUP-1415</t>
  </si>
  <si>
    <t>(35) 9 9737-0473</t>
  </si>
  <si>
    <t>Daniel</t>
  </si>
  <si>
    <t>BYF-8649</t>
  </si>
  <si>
    <t>(35) 9 9117-2194</t>
  </si>
  <si>
    <t>Rodrigo</t>
  </si>
  <si>
    <t>KBU-5630</t>
  </si>
  <si>
    <t>(35) 9 9172-4311</t>
  </si>
  <si>
    <t>Antonio</t>
  </si>
  <si>
    <t>GMT-1689</t>
  </si>
  <si>
    <t>(35) 9 9194-8386</t>
  </si>
  <si>
    <t>Ademar</t>
  </si>
  <si>
    <t>GZE-5084</t>
  </si>
  <si>
    <t>J.I.M.</t>
  </si>
  <si>
    <t>(34) 9 8828-1300</t>
  </si>
  <si>
    <t>Roberto</t>
  </si>
  <si>
    <t>(34) 9 9118-4713</t>
  </si>
  <si>
    <t>(34) 9 9318-8057</t>
  </si>
  <si>
    <t>Eduardo</t>
  </si>
  <si>
    <t>DBC-9862</t>
  </si>
  <si>
    <t>Norton</t>
  </si>
  <si>
    <t>Ivan</t>
  </si>
  <si>
    <t>IKF-3236</t>
  </si>
  <si>
    <t>(34) 9 9159-3639</t>
  </si>
  <si>
    <t>Renato</t>
  </si>
  <si>
    <t>GPD-0598</t>
  </si>
  <si>
    <t>Rodoágil</t>
  </si>
  <si>
    <t>(34) 9 9834-4030</t>
  </si>
  <si>
    <t>Gleison</t>
  </si>
  <si>
    <t>JVO-5119</t>
  </si>
  <si>
    <t>(34) 9 9290-7557</t>
  </si>
  <si>
    <t>Pedro</t>
  </si>
  <si>
    <t>3661-7478</t>
  </si>
  <si>
    <t>(34) 9 9981-2134</t>
  </si>
  <si>
    <t>Vinícius</t>
  </si>
  <si>
    <t>(34) 9 9290-7473</t>
  </si>
  <si>
    <t>Luis Andre</t>
  </si>
  <si>
    <t>(34) 9 9107-3968</t>
  </si>
  <si>
    <t>Dionatan</t>
  </si>
  <si>
    <t>-</t>
  </si>
  <si>
    <t>(34) 9 9290-7654</t>
  </si>
  <si>
    <t>Janielison</t>
  </si>
  <si>
    <t>(34) 9 8820-0054</t>
  </si>
  <si>
    <t>Sebastião</t>
  </si>
  <si>
    <t>BYB-7814</t>
  </si>
  <si>
    <t>S Ferreira</t>
  </si>
  <si>
    <t>(35) 9 9185-0377</t>
  </si>
  <si>
    <t>9 9942-1680</t>
  </si>
  <si>
    <t>Guilherme</t>
  </si>
  <si>
    <t>GYI-1002</t>
  </si>
  <si>
    <t>(35) 9 9215-5387</t>
  </si>
  <si>
    <t>Edmar</t>
  </si>
  <si>
    <t>AFE-2202</t>
  </si>
  <si>
    <t>TransMale</t>
  </si>
  <si>
    <t>(34) 98844-4551</t>
  </si>
  <si>
    <t>DBJ-9185</t>
  </si>
  <si>
    <t>(34) 9 9127-3655</t>
  </si>
  <si>
    <t>Emerson</t>
  </si>
  <si>
    <t>HJI-3049</t>
  </si>
  <si>
    <t>(34) 9 9947-3782</t>
  </si>
  <si>
    <t>João Mota</t>
  </si>
  <si>
    <t>GKF-0309</t>
  </si>
  <si>
    <t>(38) 9 8811-9673</t>
  </si>
  <si>
    <t>Jose Pedro</t>
  </si>
  <si>
    <t>GKO-5438</t>
  </si>
  <si>
    <t>(34) 9 9155-9326</t>
  </si>
  <si>
    <t>Valter</t>
  </si>
  <si>
    <t>OPT-3321</t>
  </si>
  <si>
    <t>V &amp; M</t>
  </si>
  <si>
    <t>(34) 9 9905-8578</t>
  </si>
  <si>
    <t>TEL DO MOTORISTA</t>
  </si>
  <si>
    <t>ADEVANIO (MADER)</t>
  </si>
  <si>
    <t>MADER</t>
  </si>
  <si>
    <t>PAULO HENRIQUE (MADER)</t>
  </si>
  <si>
    <t>(34) 9 9142-7902</t>
  </si>
  <si>
    <t>ALEMAR (VC)</t>
  </si>
  <si>
    <t>(34) 9 9241-1119</t>
  </si>
  <si>
    <t>ADILSON ADRIANO(MADER)</t>
  </si>
  <si>
    <t>(34) 9 9925-0487</t>
  </si>
  <si>
    <t>RENAVAM</t>
  </si>
  <si>
    <t>ANTERO DE LIMA(MADER)</t>
  </si>
  <si>
    <t>(34) 9 9840-9159</t>
  </si>
  <si>
    <t>ALTAIR (MADER)</t>
  </si>
  <si>
    <t>(34) 3661-7358</t>
  </si>
  <si>
    <t>163007730</t>
  </si>
  <si>
    <t>AMIR (MADER)</t>
  </si>
  <si>
    <t>(34) 98838-7695</t>
  </si>
  <si>
    <t>00330284274</t>
  </si>
  <si>
    <t>Razão Social: Cidade das Aguas Transporte Eireli</t>
  </si>
  <si>
    <t>ANDRÉ L. (MADER)</t>
  </si>
  <si>
    <t>(34) 9 9174-3586</t>
  </si>
  <si>
    <t>00330286013</t>
  </si>
  <si>
    <t>IE: 040.939282.00-22</t>
  </si>
  <si>
    <t>ANTONIO (MADER)</t>
  </si>
  <si>
    <t>00330232720</t>
  </si>
  <si>
    <t>Endereço: R. Dom José Gaspar, 675</t>
  </si>
  <si>
    <t>ANTONIO CARLOS (MADER)</t>
  </si>
  <si>
    <t>00330233823</t>
  </si>
  <si>
    <t>Bairro: Centro</t>
  </si>
  <si>
    <t>ARNALDO (MADER)</t>
  </si>
  <si>
    <t>00470309172</t>
  </si>
  <si>
    <t>Araxá-MG Cep: 38.183-188</t>
  </si>
  <si>
    <t>BRUNO FARIA (MADER)</t>
  </si>
  <si>
    <t>(34) 9 9215-8397</t>
  </si>
  <si>
    <t>00470309520</t>
  </si>
  <si>
    <t>Cep: 38.183-188</t>
  </si>
  <si>
    <t>BRUNO (MADER)</t>
  </si>
  <si>
    <t>(34) 9 9302-7775</t>
  </si>
  <si>
    <t>(34) 9 99840190</t>
  </si>
  <si>
    <t>00470310855</t>
  </si>
  <si>
    <t>Telefone: (34) 3669.2500</t>
  </si>
  <si>
    <t>BRENO QUIRINO(MADER)</t>
  </si>
  <si>
    <t>(34) 9 9937-0928</t>
  </si>
  <si>
    <t>00470307943</t>
  </si>
  <si>
    <t>CASSIO (MADER)</t>
  </si>
  <si>
    <t>CASSIANO (MADER)</t>
  </si>
  <si>
    <t>00470308575</t>
  </si>
  <si>
    <t>CELIO ADRIANO (MADER)</t>
  </si>
  <si>
    <t>(37) 9 9121-8420</t>
  </si>
  <si>
    <t>00470306742</t>
  </si>
  <si>
    <t>CLAUDIO (MADER)</t>
  </si>
  <si>
    <t>(34) 9 9667-2308</t>
  </si>
  <si>
    <t>00470307269</t>
  </si>
  <si>
    <t>CARLOS EDUARDO(MADER)</t>
  </si>
  <si>
    <t>(31) 9 8238-3996</t>
  </si>
  <si>
    <t>01013993800</t>
  </si>
  <si>
    <t>CLERIO (MADER)</t>
  </si>
  <si>
    <t>(34) 9 9271-1122</t>
  </si>
  <si>
    <t>1013995993</t>
  </si>
  <si>
    <t>CRISTIANO (MADER)</t>
  </si>
  <si>
    <t>1014000260</t>
  </si>
  <si>
    <t>DANIEL (MADER)</t>
  </si>
  <si>
    <t>(34) 9 9109-1318</t>
  </si>
  <si>
    <t>DANILO (MADER)</t>
  </si>
  <si>
    <t>(34) 9 8841-9278</t>
  </si>
  <si>
    <t>DENILSON (MADER)</t>
  </si>
  <si>
    <t>01013998240</t>
  </si>
  <si>
    <t>GEOGENES (MADER)</t>
  </si>
  <si>
    <t>(34) 9 8827-7820</t>
  </si>
  <si>
    <t>1013988962</t>
  </si>
  <si>
    <t>DRUMONT (MADER)</t>
  </si>
  <si>
    <t>(34) 9 8849-5822</t>
  </si>
  <si>
    <t>01013994628</t>
  </si>
  <si>
    <t>EDI (MADER)</t>
  </si>
  <si>
    <t>1013988407</t>
  </si>
  <si>
    <t>EDINEOR (MADER)</t>
  </si>
  <si>
    <t>Paulo</t>
  </si>
  <si>
    <t>9241-7671</t>
  </si>
  <si>
    <t>9930-7308</t>
  </si>
  <si>
    <t>01013996817</t>
  </si>
  <si>
    <t>EDILSON (MADER)</t>
  </si>
  <si>
    <t>1013987583</t>
  </si>
  <si>
    <t>EDSON (MADER)</t>
  </si>
  <si>
    <t>EDUARDO (MADER)</t>
  </si>
  <si>
    <t>EDUARDO C (MADER)</t>
  </si>
  <si>
    <t>(34) 9 9265-5803</t>
  </si>
  <si>
    <t>1013990754</t>
  </si>
  <si>
    <t>EURIPEDES (MADER)</t>
  </si>
  <si>
    <t>(34) 9 9946-9520</t>
  </si>
  <si>
    <t>01014007140</t>
  </si>
  <si>
    <t>EDER (MADER)</t>
  </si>
  <si>
    <t>(34) 9 8820-0870</t>
  </si>
  <si>
    <t>1013991998</t>
  </si>
  <si>
    <t>EDVALDO (MADER)</t>
  </si>
  <si>
    <t>ELIEL(MADER)</t>
  </si>
  <si>
    <t>(34) 9 9806 -7072</t>
  </si>
  <si>
    <t>FABIO (MADER)</t>
  </si>
  <si>
    <t>(34) 9 9956-6248</t>
  </si>
  <si>
    <t>FERNANDO (V&amp;M)</t>
  </si>
  <si>
    <t>V&amp;M</t>
  </si>
  <si>
    <t>(34) 9 2000-8517</t>
  </si>
  <si>
    <t>FLAVIO P (MADER)</t>
  </si>
  <si>
    <t>FLAVIO R (MADER)</t>
  </si>
  <si>
    <t>(34) 9 9142-9258</t>
  </si>
  <si>
    <t>FLAVIO S (MADER)</t>
  </si>
  <si>
    <t>(34) 9 8822-1098</t>
  </si>
  <si>
    <t>GEOGENES(MADER)</t>
  </si>
  <si>
    <t>GILBERTO (MADER)</t>
  </si>
  <si>
    <t>(34) 9 9119-9879</t>
  </si>
  <si>
    <t>GIOVANI (MADER)</t>
  </si>
  <si>
    <t>(34) 9 9984-4970</t>
  </si>
  <si>
    <t>GUILHERME (MADER)</t>
  </si>
  <si>
    <t>(34) 9 9156-3607</t>
  </si>
  <si>
    <t>HELI (MADER)</t>
  </si>
  <si>
    <t>(34) 9 9116-4715</t>
  </si>
  <si>
    <t>HADILSON(MADER)</t>
  </si>
  <si>
    <t>IGOR (MADER)</t>
  </si>
  <si>
    <t>(34) 9 9124-4289</t>
  </si>
  <si>
    <t>IGOR FLAVIO (MADER)</t>
  </si>
  <si>
    <t>J ALBERTO (MADER)</t>
  </si>
  <si>
    <t>(34) 9 9965-8605</t>
  </si>
  <si>
    <t>J EDUARDO (MADER)</t>
  </si>
  <si>
    <t>JOSE CARLOS (MADER)</t>
  </si>
  <si>
    <t>JADIR (MADER)</t>
  </si>
  <si>
    <t>(34) 9 9133-0241</t>
  </si>
  <si>
    <t>JADSON (MADER)</t>
  </si>
  <si>
    <t>JAERTO (MADER)</t>
  </si>
  <si>
    <t>JAINES (MADER)</t>
  </si>
  <si>
    <t>(34) 9 9957-0917</t>
  </si>
  <si>
    <t>JESUS (MADER)</t>
  </si>
  <si>
    <t>JOAO HENRIQUE (MADER)</t>
  </si>
  <si>
    <t>(34) 9 9909-2471</t>
  </si>
  <si>
    <t>JOAO VARGAS (MADER)</t>
  </si>
  <si>
    <t>JOSE ROBERTO (MADER)</t>
  </si>
  <si>
    <t>(34) 9 9811-7125</t>
  </si>
  <si>
    <t>JORGE (MADER)</t>
  </si>
  <si>
    <t>JULIANO (MADER)</t>
  </si>
  <si>
    <t>(34) 9 9206-6723</t>
  </si>
  <si>
    <t>JULIO (MADER)</t>
  </si>
  <si>
    <t>(34) 9 9259-5180</t>
  </si>
  <si>
    <t>JULIO CESAR (MADER)</t>
  </si>
  <si>
    <t>(34) 9 9195-8648</t>
  </si>
  <si>
    <t>JUNIO (MADER)</t>
  </si>
  <si>
    <t>(34) 9 9958-9948</t>
  </si>
  <si>
    <t>LEANDRO LARA (MADER)</t>
  </si>
  <si>
    <t>(34) 9 9185-2508</t>
  </si>
  <si>
    <t>LEANDRO T (MADER)</t>
  </si>
  <si>
    <t>(34) 9 8831-8161</t>
  </si>
  <si>
    <t>LEIDIMAR (MADER)</t>
  </si>
  <si>
    <t>LEANDRO ALBERTO (MADER)</t>
  </si>
  <si>
    <t>(34) 9 9951-4531</t>
  </si>
  <si>
    <t>LEANDRO F (MADER)</t>
  </si>
  <si>
    <t>(34) 9 8843-0770</t>
  </si>
  <si>
    <t>LIOMAR (MADER)</t>
  </si>
  <si>
    <t>LIVANO (MADER)</t>
  </si>
  <si>
    <t>LUIS MARCIO (MADER)</t>
  </si>
  <si>
    <t>LUIS FERNANDO (MADER)</t>
  </si>
  <si>
    <t>BRUNO FERNANDES (MADER)</t>
  </si>
  <si>
    <t>(34) 99916-1557</t>
  </si>
  <si>
    <t>MARCELO G (MADER)</t>
  </si>
  <si>
    <t>(34) 9 9771-4777</t>
  </si>
  <si>
    <t>MARCIO (MADER)</t>
  </si>
  <si>
    <t>MARCO ANTONIO (MADER)</t>
  </si>
  <si>
    <t>MARCOS BOLA(MADER)</t>
  </si>
  <si>
    <t>(34) 9 9175-5573</t>
  </si>
  <si>
    <t>MARCOS DANIEL (MADER)</t>
  </si>
  <si>
    <t>MAURICIO (MADER)</t>
  </si>
  <si>
    <t>(34) 9 9944-3012</t>
  </si>
  <si>
    <t>MAZANE (MADER)</t>
  </si>
  <si>
    <t>MESSIAS (MADER)</t>
  </si>
  <si>
    <t>MAX (MADER)</t>
  </si>
  <si>
    <t>(34) 9 9223-2719</t>
  </si>
  <si>
    <t>MORAES (MADER)</t>
  </si>
  <si>
    <t>NEWTON (MADER)</t>
  </si>
  <si>
    <t>(34) 9 8848-5226</t>
  </si>
  <si>
    <t>OLDAIR (MADER)</t>
  </si>
  <si>
    <t>OSVALDO (MADER)</t>
  </si>
  <si>
    <t>PATRICK (VC)</t>
  </si>
  <si>
    <t>VC CARGAS</t>
  </si>
  <si>
    <t>(34) 9 8834-5546</t>
  </si>
  <si>
    <t>PAULO H. (MADER)</t>
  </si>
  <si>
    <t>PEDRO (MADER)</t>
  </si>
  <si>
    <t>RENILDO (MADER)</t>
  </si>
  <si>
    <t>(34) 9 9102-4164</t>
  </si>
  <si>
    <t>RENATO (MADER)</t>
  </si>
  <si>
    <t>(79) 9 9901-4829</t>
  </si>
  <si>
    <t>RICARDO (MADER)</t>
  </si>
  <si>
    <t>(34) 9 8841-3010</t>
  </si>
  <si>
    <t>ROBERTO (MADER)</t>
  </si>
  <si>
    <t>ROBSON (MADER)</t>
  </si>
  <si>
    <t>(34) 9 8849-7721</t>
  </si>
  <si>
    <t>RODRIGO C (MADER)</t>
  </si>
  <si>
    <t>RODRIGO R (MADER)</t>
  </si>
  <si>
    <t>(34) 9 9224-2785</t>
  </si>
  <si>
    <t>RODRIGO (MADER)</t>
  </si>
  <si>
    <t>(34) 9 9150-3987</t>
  </si>
  <si>
    <t>RODOLFO (MADER)</t>
  </si>
  <si>
    <t>(34) 9 9186-0200</t>
  </si>
  <si>
    <t>ROMINHO (MADER)</t>
  </si>
  <si>
    <t>SELIO (MADER)</t>
  </si>
  <si>
    <t>(34) 9 8810-5253</t>
  </si>
  <si>
    <t>SIRLEI (MADER)</t>
  </si>
  <si>
    <t>UESLEI (MADER)</t>
  </si>
  <si>
    <t>VALDENILSON (MADER)</t>
  </si>
  <si>
    <t>VERIDIO (MADER)</t>
  </si>
  <si>
    <t>(34) 9 9122-7235</t>
  </si>
  <si>
    <t>VINICIUS (MADER)</t>
  </si>
  <si>
    <t>(34) 9 8875-9530</t>
  </si>
  <si>
    <t>WILLIAN (MADER)</t>
  </si>
  <si>
    <t>WESLEY (MADER)</t>
  </si>
  <si>
    <t>(34) 9 8896-2401</t>
  </si>
  <si>
    <t>HADILSON (MADER)</t>
  </si>
  <si>
    <t>LEANDRO (MADER)</t>
  </si>
  <si>
    <t>(34) 9 9828-5878</t>
  </si>
  <si>
    <t>WESLLEY CAMPOS</t>
  </si>
  <si>
    <t>SAULO(MADER)</t>
  </si>
  <si>
    <t>(37) 9 9842-1286</t>
  </si>
  <si>
    <t>SEBASTIÃO (MADER)</t>
  </si>
  <si>
    <t>(34) 9 8897-2006</t>
  </si>
  <si>
    <t>YAGO (RODOAGIL)</t>
  </si>
  <si>
    <t>(34) 9 9657-6041</t>
  </si>
  <si>
    <t>ADELMO (VC)</t>
  </si>
  <si>
    <t>(34) 9 9123-4315</t>
  </si>
  <si>
    <t>ADRIANO L (VC)</t>
  </si>
  <si>
    <t>(34) 9 9841-7639</t>
  </si>
  <si>
    <t>ADRIANO (VC)</t>
  </si>
  <si>
    <t>(34) 9 9711-0890</t>
  </si>
  <si>
    <t>ADRIANO C (VC)</t>
  </si>
  <si>
    <t>(34) 9 8866-0150</t>
  </si>
  <si>
    <t>ALADIR (VC)</t>
  </si>
  <si>
    <t>(34) 9 9719-1630</t>
  </si>
  <si>
    <t>ALEX SANDRO (VC)</t>
  </si>
  <si>
    <t>(34) 9 8722-8157</t>
  </si>
  <si>
    <t>ALEXANDRE (VC)</t>
  </si>
  <si>
    <t>(34) 9 9822-8535</t>
  </si>
  <si>
    <t>BALTAZAR (VC)</t>
  </si>
  <si>
    <t>(34) 9 9932-2690</t>
  </si>
  <si>
    <t>BELCHIOR (VC)</t>
  </si>
  <si>
    <t>(34) 9 9804-7646</t>
  </si>
  <si>
    <t>BRUNO RICARDO (VC)</t>
  </si>
  <si>
    <t>(34) 9 9983-8424</t>
  </si>
  <si>
    <t>CLAUDIO (VC)</t>
  </si>
  <si>
    <t>(34) 9 9835-9613</t>
  </si>
  <si>
    <t>CLEITON (VC)</t>
  </si>
  <si>
    <t>(34) 9 9838-4588</t>
  </si>
  <si>
    <t>DANIEL XAVIER (VC)</t>
  </si>
  <si>
    <t>(34) 9 9831-2983</t>
  </si>
  <si>
    <t>DEVANIR (VC)</t>
  </si>
  <si>
    <t>(34) 9 8840-8655</t>
  </si>
  <si>
    <t>DIEGO (VC)</t>
  </si>
  <si>
    <t>(34) 9 9835-8925</t>
  </si>
  <si>
    <t>DONIZETE (VC)</t>
  </si>
  <si>
    <t>(34) 9 9804-8156</t>
  </si>
  <si>
    <t>ELIAS(VC)</t>
  </si>
  <si>
    <t>(34) 9 9821-4178</t>
  </si>
  <si>
    <t>ERNANDO(VC)</t>
  </si>
  <si>
    <t>(34) 9 8803-7405</t>
  </si>
  <si>
    <t>ERNANI(VC)</t>
  </si>
  <si>
    <t>(73) 9 8870-2540</t>
  </si>
  <si>
    <t>EVANDRO (VC)</t>
  </si>
  <si>
    <t>(34) 9 8875-6969</t>
  </si>
  <si>
    <t>FABIANO (VC)</t>
  </si>
  <si>
    <t>(34) 9 8843-6472</t>
  </si>
  <si>
    <t>FABRICIO (VC)</t>
  </si>
  <si>
    <t>(34) 9 9921-3322</t>
  </si>
  <si>
    <t>FELIPE MILAGRES(VC)</t>
  </si>
  <si>
    <t>(34) 9 8845-3461</t>
  </si>
  <si>
    <t>FERNANDO AP (VC)</t>
  </si>
  <si>
    <t>(34) 9 9935-6902</t>
  </si>
  <si>
    <t>GERCINO(VC)</t>
  </si>
  <si>
    <t>(34) 9 9806-6195</t>
  </si>
  <si>
    <t>FLAVIO (VC)</t>
  </si>
  <si>
    <t>(34) 9 9195-5184</t>
  </si>
  <si>
    <t>FREDSON (VC)</t>
  </si>
  <si>
    <t>(34) 9 8853-2816</t>
  </si>
  <si>
    <t>GEOMAR (VC)</t>
  </si>
  <si>
    <t>(34) 9 9955-2200</t>
  </si>
  <si>
    <t>JAIME (VC)</t>
  </si>
  <si>
    <t>(34) 9 9987-7674</t>
  </si>
  <si>
    <t>JEFITH (VC)</t>
  </si>
  <si>
    <t>(34) 9 9915-7787</t>
  </si>
  <si>
    <t>JULIANO AP (VC)</t>
  </si>
  <si>
    <t>(34) 9 9321-5363</t>
  </si>
  <si>
    <t>JULIANO M (VC)</t>
  </si>
  <si>
    <t>(37) 9 9937-4501</t>
  </si>
  <si>
    <t>JUNIO (VC)</t>
  </si>
  <si>
    <t>(34) 9 9923-5604</t>
  </si>
  <si>
    <t>LEANDRO (VC)</t>
  </si>
  <si>
    <t>(34) 9 9325-4143</t>
  </si>
  <si>
    <t>LEONARDO (VC)</t>
  </si>
  <si>
    <t>(34) 9 9984-0190</t>
  </si>
  <si>
    <t>LEONARDO B (VC)</t>
  </si>
  <si>
    <t>(34) 9 9291-0443</t>
  </si>
  <si>
    <t>LUIS ALBERTO (VC)</t>
  </si>
  <si>
    <t>(34) 9 9927-4357</t>
  </si>
  <si>
    <t>MARCELO (VC)</t>
  </si>
  <si>
    <t>(34) 9 8862-7778</t>
  </si>
  <si>
    <t>MARCIANO (VC)</t>
  </si>
  <si>
    <t>(34) 9 9802-6714</t>
  </si>
  <si>
    <t>MARCIO VINICIUS (VC)</t>
  </si>
  <si>
    <t>(34) 9 9728-8287</t>
  </si>
  <si>
    <t>MATHEUS (VC)</t>
  </si>
  <si>
    <t>(34) 9 9246-6679</t>
  </si>
  <si>
    <t>MIGUEL (VC)</t>
  </si>
  <si>
    <t>(32) 9 9988-0237</t>
  </si>
  <si>
    <t>CRISTIANE(VC)</t>
  </si>
  <si>
    <t>(34) 9 8813-8680</t>
  </si>
  <si>
    <t>VANDERLEI(VC)</t>
  </si>
  <si>
    <t>(34) 9 9908-7434</t>
  </si>
  <si>
    <t>PAULO (VC)</t>
  </si>
  <si>
    <t>(34) 9 9195-2474</t>
  </si>
  <si>
    <t>PEDRO (VC)</t>
  </si>
  <si>
    <t>(34) 9 8859-6404</t>
  </si>
  <si>
    <t>RODRIGO S (VC)</t>
  </si>
  <si>
    <t>(34) 9 9943-3455</t>
  </si>
  <si>
    <t>ROGERIO (VC)</t>
  </si>
  <si>
    <t>(34) 9 8431-1920</t>
  </si>
  <si>
    <t>ROBERTO SANTOS (VC)</t>
  </si>
  <si>
    <t>(34) 9 8864-2237</t>
  </si>
  <si>
    <t>RAFAEL (VC)</t>
  </si>
  <si>
    <t>(34) 9 8852-5546</t>
  </si>
  <si>
    <t>BRUNO DANIEL (VC)</t>
  </si>
  <si>
    <t>(34) 9 9907-6498</t>
  </si>
  <si>
    <t>ANDERSON(VC)</t>
  </si>
  <si>
    <t>(34) 9 9938-1498</t>
  </si>
  <si>
    <t>TIAGO GOMES (VC)</t>
  </si>
  <si>
    <t>(34) 9 9820-0441</t>
  </si>
  <si>
    <t>HARLEN(VC)</t>
  </si>
  <si>
    <t>(34) 9 9135-1939</t>
  </si>
  <si>
    <t>ROBERTH (VC)</t>
  </si>
  <si>
    <t>(34) 9 8841-4215</t>
  </si>
  <si>
    <t>WELLINGTON (VC)</t>
  </si>
  <si>
    <t>(34) 9 8854-4349</t>
  </si>
  <si>
    <t>WILLIAN (VC)</t>
  </si>
  <si>
    <t>(34) 9 8855-3788</t>
  </si>
  <si>
    <t>(34) 3662-6877</t>
  </si>
  <si>
    <t>WANNER (VC)</t>
  </si>
  <si>
    <t>(34) 9 8410-0602</t>
  </si>
  <si>
    <t>WILLIAN(VC)</t>
  </si>
  <si>
    <t>THIAGO ROSA (VC)</t>
  </si>
  <si>
    <t>(34) 99737-9223</t>
  </si>
  <si>
    <t>VICTOR(VC)</t>
  </si>
  <si>
    <t>(34) 98885-4294</t>
  </si>
  <si>
    <t>ALEXANDRE (S FERREIRA)</t>
  </si>
  <si>
    <t>(35) 9 9903-3201</t>
  </si>
  <si>
    <t>JOÃO PEDRO (ACORINTE)</t>
  </si>
  <si>
    <t>(35) 9 9936-4050</t>
  </si>
  <si>
    <t>RAFAEL (ACORINTE)</t>
  </si>
  <si>
    <t>RODRIGO (ACORINTE)</t>
  </si>
  <si>
    <t>CLAUDINEI (ACORINTE)</t>
  </si>
  <si>
    <t>(35) 9 9768-5456</t>
  </si>
  <si>
    <t>LUIZ DONIZETE (ACORINTE)</t>
  </si>
  <si>
    <t>(35) 9 9106-9210</t>
  </si>
  <si>
    <t>LEANDRO (ACORINTE)</t>
  </si>
  <si>
    <t>ANTONIO (S FERREIRA)</t>
  </si>
  <si>
    <t>EDUARDO (M&amp;S)</t>
  </si>
  <si>
    <t>M&amp;S</t>
  </si>
  <si>
    <t>(34) 9 9982-5392</t>
  </si>
  <si>
    <t>RODRIGO L (M&amp;S)</t>
  </si>
  <si>
    <t>(34) 9 8809-2135</t>
  </si>
  <si>
    <t>PAULO S (M&amp;S)</t>
  </si>
  <si>
    <t>(34) 9 9241-7671</t>
  </si>
  <si>
    <t>EMERSON (M&amp;S)</t>
  </si>
  <si>
    <t>(34) 9 8861-9315</t>
  </si>
  <si>
    <t>LUIZ CARLOS(M&amp;S)</t>
  </si>
  <si>
    <t>(34) 9 8834-2965</t>
  </si>
  <si>
    <t>DIRLEI(M&amp;S)</t>
  </si>
  <si>
    <t>(34) 9 9167-4807</t>
  </si>
  <si>
    <t>CRISTIANO (MS)</t>
  </si>
  <si>
    <t>(34) 9 8871-4624</t>
  </si>
  <si>
    <t>DANILO (MS)</t>
  </si>
  <si>
    <t>(34) 9 9813-6788</t>
  </si>
  <si>
    <t>IVAN (J.I.M)</t>
  </si>
  <si>
    <t>RENATO (RODOAGIL)</t>
  </si>
  <si>
    <t>PEDRO (RODOAGIL)</t>
  </si>
  <si>
    <t>(35) 9 8828-9072</t>
  </si>
  <si>
    <t>EZEQUIEL (RODOAGIL)</t>
  </si>
  <si>
    <t>(34) 9 9823-0716</t>
  </si>
  <si>
    <t>EDUARDO(RODOAGIL)</t>
  </si>
  <si>
    <t>(34) 9 9826-3043</t>
  </si>
  <si>
    <t>VINICIUS (RODOAGIL)</t>
  </si>
  <si>
    <t>ALEXANDRE (RODOAGIL)</t>
  </si>
  <si>
    <t>(34) 9 8823-6572</t>
  </si>
  <si>
    <t>DIEGO (RODOAGIL)</t>
  </si>
  <si>
    <t>(34) 9 9714-5575</t>
  </si>
  <si>
    <t>THIERES(RODOAGIL)</t>
  </si>
  <si>
    <t>(34) 9 9121-2149</t>
  </si>
  <si>
    <t>JANIELISON (RODOAGIL)</t>
  </si>
  <si>
    <t>(34) 9 9290-7474</t>
  </si>
  <si>
    <t>HELI (RODOAGIL)</t>
  </si>
  <si>
    <t>WELITON(RODOAGIL)</t>
  </si>
  <si>
    <t>ADONAI DOS REIS(RODOAGIL)</t>
  </si>
  <si>
    <t>(34) 9 9983-4587</t>
  </si>
  <si>
    <t>ROMERO (RODOAGIL)</t>
  </si>
  <si>
    <t>(34) 9 8891-7568</t>
  </si>
  <si>
    <t>SEBASTIAO (S FERREIRA)</t>
  </si>
  <si>
    <t>(35) 9 9942-1680</t>
  </si>
  <si>
    <t>MAXSUEL (S FERREIRA)</t>
  </si>
  <si>
    <t>(35) 9 9173-1929</t>
  </si>
  <si>
    <t>GUILHERME (S FERREIRA)</t>
  </si>
  <si>
    <t>ADMILSON (S FERREIRA)</t>
  </si>
  <si>
    <t>(35) 9 9177-4238</t>
  </si>
  <si>
    <t>WILLIAM (S FERREIRA)</t>
  </si>
  <si>
    <t>(35) 9 9142-7441</t>
  </si>
  <si>
    <t>CAIO (S FERREIRA)</t>
  </si>
  <si>
    <t>(35) 9 9247-0743</t>
  </si>
  <si>
    <t>ALEX  (S FERREIRA)</t>
  </si>
  <si>
    <t>(35) 9 9713-1371</t>
  </si>
  <si>
    <t>ANTONIO R (S FERREIRA)</t>
  </si>
  <si>
    <t>(35) 9 9100-5090</t>
  </si>
  <si>
    <t>MARCILIO((S FERREIRA)</t>
  </si>
  <si>
    <t>(35) 9 9711-0023</t>
  </si>
  <si>
    <t>DOUGLAS (S FERREIRA)</t>
  </si>
  <si>
    <t>(35) 9 9931-1977</t>
  </si>
  <si>
    <t>LUCIANO(S FERREIRA)</t>
  </si>
  <si>
    <t>(35) 9 9832-6769</t>
  </si>
  <si>
    <t>MICHEL (S FERREIRA)</t>
  </si>
  <si>
    <t>(35) 9 9877-8613</t>
  </si>
  <si>
    <t>ALISON (S FERREIRA)</t>
  </si>
  <si>
    <t>(35) 9 9868-4773</t>
  </si>
  <si>
    <t>JOÃO BATISTA (S FERREIRA)</t>
  </si>
  <si>
    <t>(35) 9 9946-0351</t>
  </si>
  <si>
    <t>JOSE ROBERTO(S FERREIRA)</t>
  </si>
  <si>
    <t>(35) 9 9141-2535</t>
  </si>
  <si>
    <t>DAVID (S FERREIRA)</t>
  </si>
  <si>
    <t>(35) 9 8809-4534</t>
  </si>
  <si>
    <t>EDMAR (TRANSMALE)</t>
  </si>
  <si>
    <t>DANIEL (TRANSMALE)</t>
  </si>
  <si>
    <t>HEMERSON (TRANSMALE)</t>
  </si>
  <si>
    <t>HUMBERTO (TRANSMALE)</t>
  </si>
  <si>
    <t>(34) 9 9986-4060</t>
  </si>
  <si>
    <t>JOAO MOTA (TRANSMALE)</t>
  </si>
  <si>
    <t>JOSE PEDRO (TRANSMALE)</t>
  </si>
  <si>
    <t>RODRIGO R (TR RAMALHO)</t>
  </si>
  <si>
    <t>Tr Ramalho</t>
  </si>
  <si>
    <t>DANIEL (Tr Ramalho)</t>
  </si>
  <si>
    <t>(34) 9 8803-5106</t>
  </si>
  <si>
    <t>FERNANDO (TR RAMALHO)</t>
  </si>
  <si>
    <t>(34) 9 9955-6008</t>
  </si>
  <si>
    <t>DANIEL  (TR RAMALHO)</t>
  </si>
  <si>
    <t>SAMMES (TR RAMALHO)</t>
  </si>
  <si>
    <t>(34) 9 9945-6575</t>
  </si>
  <si>
    <t>ROBERTO(TR RAMALHO)</t>
  </si>
  <si>
    <t>(34) 9 9913-8057</t>
  </si>
  <si>
    <t>FLAVIO LAERTE(TR RAMALHO)</t>
  </si>
  <si>
    <t>(34) 9 9838-9005</t>
  </si>
  <si>
    <t>BRUNO MESQUITA (TR RAMALHO)</t>
  </si>
  <si>
    <t>(34) 9 9942-2668</t>
  </si>
  <si>
    <t>EGON KEATON (TR RAMALHO)</t>
  </si>
  <si>
    <t>(34) 9 9981-9145</t>
  </si>
  <si>
    <t>GHIVAGO (RODOAGIL)</t>
  </si>
  <si>
    <t>Rodoagil</t>
  </si>
  <si>
    <t>(34) 9 9335-3047</t>
  </si>
  <si>
    <t>PROGRAMAÇÃO DE DESCARGA NA FILIAL</t>
  </si>
  <si>
    <t>ALMOÇO</t>
  </si>
  <si>
    <t>CARREGAMENTO</t>
  </si>
  <si>
    <t>12:30/13:30</t>
  </si>
  <si>
    <t>13:00/14:00</t>
  </si>
  <si>
    <t>11:00/12:00</t>
  </si>
  <si>
    <t>UNAI - 56</t>
  </si>
  <si>
    <t>12:00/13:00</t>
  </si>
  <si>
    <t>RBR4E34</t>
  </si>
  <si>
    <t>HHI-5832</t>
  </si>
  <si>
    <t>PWL-3094</t>
  </si>
  <si>
    <t>11:30/12:30</t>
  </si>
  <si>
    <t>ROTA EXTRA 01</t>
  </si>
  <si>
    <t>ROTA EXTRA 02</t>
  </si>
  <si>
    <t>ROTA EXTRA 03</t>
  </si>
  <si>
    <t>ROTA EXTRA 04</t>
  </si>
  <si>
    <t>BURITIS - 122</t>
  </si>
  <si>
    <t>ROTA EXTRA 05</t>
  </si>
  <si>
    <t>ROTA EXTRA 06</t>
  </si>
  <si>
    <t>PVK8F29</t>
  </si>
  <si>
    <t>ROTA EXTRA 07</t>
  </si>
  <si>
    <t>ROTA EXTRA 08</t>
  </si>
  <si>
    <t>ROTA EXTRA 09</t>
  </si>
  <si>
    <t>ROTA EXTRA 10</t>
  </si>
  <si>
    <t>INAUGURAÇÃO</t>
  </si>
  <si>
    <t>LADAINHA - 549</t>
  </si>
  <si>
    <t>RUFATO</t>
  </si>
  <si>
    <t>BOM PASTOR</t>
  </si>
  <si>
    <t>SUGGAR</t>
  </si>
  <si>
    <t>14:00/15:00</t>
  </si>
  <si>
    <t>AKO8E31</t>
  </si>
  <si>
    <t>MMD-9670</t>
  </si>
  <si>
    <t>EVU0C08</t>
  </si>
  <si>
    <t>CARAÍ - 550</t>
  </si>
  <si>
    <t>RYF5E06</t>
  </si>
  <si>
    <t>PLASTICO BOLHA</t>
  </si>
  <si>
    <t>AJD1B41</t>
  </si>
  <si>
    <t>BYW4F68</t>
  </si>
  <si>
    <t>ROTA LARANJA A 01</t>
  </si>
  <si>
    <t>CARANGOLA - 234</t>
  </si>
  <si>
    <t>AFONSO CLAUDIO - 331</t>
  </si>
  <si>
    <t>CASTELO - 448</t>
  </si>
  <si>
    <t>ANCHIETA - 441</t>
  </si>
  <si>
    <t>MARATAIZES - 424</t>
  </si>
  <si>
    <t>ITAPEMIRIM - 392</t>
  </si>
  <si>
    <t>ROTA LARANJA A 02</t>
  </si>
  <si>
    <t>MATIPO - 214</t>
  </si>
  <si>
    <t>ABRE CAMPO - 335</t>
  </si>
  <si>
    <t>SANTA MARGARIDA - 433</t>
  </si>
  <si>
    <t>IPANEMA - 282</t>
  </si>
  <si>
    <t>MANHUMIRIM - 232</t>
  </si>
  <si>
    <t>ESPERA FELIZ - 212</t>
  </si>
  <si>
    <t>DIVINO - 310</t>
  </si>
  <si>
    <t>ROTA LARANJA A 03</t>
  </si>
  <si>
    <t>IBATIBA - 263</t>
  </si>
  <si>
    <t>MUTUM - 233</t>
  </si>
  <si>
    <t>LAJINHA - 281</t>
  </si>
  <si>
    <t>IUNA - 333</t>
  </si>
  <si>
    <t>ALEGRE - 345</t>
  </si>
  <si>
    <t>GUACUI - 342</t>
  </si>
  <si>
    <t>MIMOSO DO SUL - 450</t>
  </si>
  <si>
    <t>ROTA LARANJA A 04</t>
  </si>
  <si>
    <t>ITAMBE - 429</t>
  </si>
  <si>
    <t>ITAPETINGA - 362</t>
  </si>
  <si>
    <t>ITORORO - 517</t>
  </si>
  <si>
    <t>IBICUI - 385</t>
  </si>
  <si>
    <t>IGUAI - 325</t>
  </si>
  <si>
    <t>PLANALTO - 240</t>
  </si>
  <si>
    <t>MONDIAL</t>
  </si>
  <si>
    <t>ROTA LARANJA A 05</t>
  </si>
  <si>
    <t>TANQUE NOVO - 238</t>
  </si>
  <si>
    <t>MACAUBAS - 297</t>
  </si>
  <si>
    <t>PARAMIRIM - 242</t>
  </si>
  <si>
    <t>LIVRAMENTO DE NOSSA SENHORA - 446</t>
  </si>
  <si>
    <t>BRUMADO - 197</t>
  </si>
  <si>
    <t>ARACATU - 227</t>
  </si>
  <si>
    <t>ROTA LARANJA A 06</t>
  </si>
  <si>
    <t>ATALEIA - 230</t>
  </si>
  <si>
    <t>CARLOS CHAGAS - 191</t>
  </si>
  <si>
    <t>NANUQUE - 142</t>
  </si>
  <si>
    <t>POSTO DA MATA - 518</t>
  </si>
  <si>
    <t>MUCURI - 521</t>
  </si>
  <si>
    <t>TEIXEIRA DE FREITAS - 523</t>
  </si>
  <si>
    <t>ROTA LARANJA A 07</t>
  </si>
  <si>
    <t>PEDRA AZUL - 163</t>
  </si>
  <si>
    <t>JEQUITINHONHA - 148</t>
  </si>
  <si>
    <t>ALMENARA - 147</t>
  </si>
  <si>
    <t>JORDANIA - 308</t>
  </si>
  <si>
    <t>ROTA LARANJA A 08</t>
  </si>
  <si>
    <t>CONSELHEIRO PENA - 184</t>
  </si>
  <si>
    <t>AIMORES - 183</t>
  </si>
  <si>
    <t>BAIXO GUANDU - 207</t>
  </si>
  <si>
    <t>AGUAS FORMOSAS - 286</t>
  </si>
  <si>
    <t>ROTA LARANJA A 09</t>
  </si>
  <si>
    <t>GOVERNADOR VALADARES - 505</t>
  </si>
  <si>
    <t>CENTRAL DE MINAS - 320</t>
  </si>
  <si>
    <t>MANTENA - 192</t>
  </si>
  <si>
    <t>SAO GABRIEL DA PALHA - 318</t>
  </si>
  <si>
    <t>VILA VALERIO - 461</t>
  </si>
  <si>
    <t>ROTA LARANJA A 10</t>
  </si>
  <si>
    <t>CANDIDO SALES - 198</t>
  </si>
  <si>
    <t>BELO CAMPO - 471</t>
  </si>
  <si>
    <t>CONDEUBA - 361</t>
  </si>
  <si>
    <t>ROTA LARANJA A 11</t>
  </si>
  <si>
    <t>PADRE PARAISO - 139</t>
  </si>
  <si>
    <t>ITAIPE - 453</t>
  </si>
  <si>
    <t>NOVO CRUZEIRO - 137</t>
  </si>
  <si>
    <t>TEOFILO OTONI - 289</t>
  </si>
  <si>
    <t>BARRA DO CHOCA - 223</t>
  </si>
  <si>
    <t>VITORIA DA CONQUISTA - 501</t>
  </si>
  <si>
    <t>SANTANA DO PARAISO - 389</t>
  </si>
  <si>
    <t>BELO ORIENTE - 344</t>
  </si>
  <si>
    <t>NAQUE - 363</t>
  </si>
  <si>
    <t>VARGEM ALTA - 393</t>
  </si>
  <si>
    <t>GUARAPARI - 527</t>
  </si>
  <si>
    <t>POCOES - 459</t>
  </si>
  <si>
    <t>JEQUIE - 507</t>
  </si>
  <si>
    <t>IPIAU - 528</t>
  </si>
  <si>
    <t>JAGUAQUARA - 482</t>
  </si>
  <si>
    <t>PUG8H22</t>
  </si>
  <si>
    <t>ANAGE - 222</t>
  </si>
  <si>
    <t>TANHACU - 324</t>
  </si>
  <si>
    <t>BARRA DA ESTIVA - 463</t>
  </si>
  <si>
    <t>ITAMBACURI - 193</t>
  </si>
  <si>
    <t>POTE - 169</t>
  </si>
  <si>
    <t>MALACACHETA - 225</t>
  </si>
  <si>
    <t>MEDINA - 180</t>
  </si>
  <si>
    <t>ITAOBIM - 138</t>
  </si>
  <si>
    <t>ITINGA - 143</t>
  </si>
  <si>
    <t>NOVA VENECIA - 370</t>
  </si>
  <si>
    <t>BOA ESPERANCA - 451</t>
  </si>
  <si>
    <t>PEDRO CANARIO - 423</t>
  </si>
  <si>
    <t>MONTANHA - 464</t>
  </si>
  <si>
    <t>RESPLENDOR - 188</t>
  </si>
  <si>
    <t>SR MOTORISTA, FAVOR CONFERIR DOCUMENTAÇÃO, NOTAS FISCAIS, PASTA E MALOTES. SEGUE ABAIXO A ORDEM DE DESCARGA.</t>
  </si>
  <si>
    <t>ARAXÁ - 04</t>
  </si>
  <si>
    <t>TAPIRA - 603</t>
  </si>
  <si>
    <t>FORNECEDOR</t>
  </si>
  <si>
    <t>CEP</t>
  </si>
  <si>
    <t xml:space="preserve">COLORMAQ </t>
  </si>
  <si>
    <t>COLORMAQ (CONTAGEM)</t>
  </si>
  <si>
    <t>COLORMAQ (SERRA ES)</t>
  </si>
  <si>
    <t>MOTOBRAS</t>
  </si>
  <si>
    <t>MOTOBRAS/WALITA</t>
  </si>
  <si>
    <t>GRIFIT LAVADORAS</t>
  </si>
  <si>
    <t>ZEMA MODA CAPETINGA</t>
  </si>
  <si>
    <t>AMAPA(ARMARIOS) - USO E CONSUMO</t>
  </si>
  <si>
    <t>PAPEL A4 - USO E CONSUMO</t>
  </si>
  <si>
    <t>PANASONIC</t>
  </si>
  <si>
    <t>PANASONIC (CONTAGEM)</t>
  </si>
  <si>
    <t>PATRIMAR</t>
  </si>
  <si>
    <t>ATHOR</t>
  </si>
  <si>
    <t>BIEMME BRINQUEDOS</t>
  </si>
  <si>
    <t>GELIUS</t>
  </si>
  <si>
    <t>MOVEIS SÃO MIGUEL</t>
  </si>
  <si>
    <t>MOVEIS SÃO MIGUEL/GELIUS</t>
  </si>
  <si>
    <t>MOBILAN(CADEIRAS)</t>
  </si>
  <si>
    <t>GONDOLAS - USO E CONSUMO</t>
  </si>
  <si>
    <t>BATROL MOVEIS</t>
  </si>
  <si>
    <t>NYNE</t>
  </si>
  <si>
    <t>NYNE/UAI</t>
  </si>
  <si>
    <t>RUFATO/MOVEIS CAROLINA</t>
  </si>
  <si>
    <t>UAI MESAS</t>
  </si>
  <si>
    <t>METALTEC</t>
  </si>
  <si>
    <t>METALFRIO</t>
  </si>
  <si>
    <t>ITATIAIA</t>
  </si>
  <si>
    <t>INDUSAT</t>
  </si>
  <si>
    <t>PHILIPS/WALITA</t>
  </si>
  <si>
    <t>ZEMA MODA FRANCA</t>
  </si>
  <si>
    <t>ZEMA MODA NOVA SERRANA</t>
  </si>
  <si>
    <t>PALETES (USO E CONSUMO)</t>
  </si>
  <si>
    <t>CARREGAMENTO SERRA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</si>
</sst>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#,###,###"/>
    <numFmt numFmtId="165" formatCode="h:mm;@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b/>
      <sz val="12"/>
      <color indexed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2"/>
      <name val="Times New Roman"/>
      <family val="1"/>
    </font>
    <font>
      <b/>
      <sz val="12"/>
      <color rgb="FFFF0000"/>
      <name val="Arial"/>
      <family val="2"/>
    </font>
    <font>
      <b/>
      <sz val="11"/>
      <color indexed="8"/>
      <name val="Calibri"/>
      <family val="2"/>
      <scheme val="minor"/>
    </font>
    <font>
      <b/>
      <sz val="15"/>
      <color theme="1"/>
      <name val="Cambria"/>
      <family val="1"/>
      <scheme val="major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sz val="22"/>
      <color indexed="8"/>
      <name val="Cambria"/>
      <family val="1"/>
    </font>
    <font>
      <b/>
      <sz val="11"/>
      <name val="Cambria"/>
      <family val="1"/>
    </font>
    <font>
      <b/>
      <sz val="11"/>
      <color theme="1"/>
      <name val="Cambria"/>
      <family val="1"/>
    </font>
    <font>
      <b/>
      <sz val="22"/>
      <name val="Cambria"/>
      <family val="1"/>
    </font>
    <font>
      <b/>
      <sz val="22"/>
      <color indexed="8"/>
      <name val="Cambria"/>
      <family val="1"/>
    </font>
    <font>
      <b/>
      <sz val="24"/>
      <color theme="1"/>
      <name val="Cambria"/>
      <family val="1"/>
    </font>
    <font>
      <b/>
      <sz val="11"/>
      <name val="Calibri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CE6F1"/>
        <bgColor rgb="FF000000"/>
      </patternFill>
    </fill>
    <fill>
      <patternFill patternType="solid">
        <fgColor theme="2" tint="-0.499984740745262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/>
      <bottom style="thin">
        <color indexed="64"/>
      </bottom>
      <diagonal/>
    </border>
  </borders>
  <cellStyleXfs count="29">
    <xf numFmtId="0" fontId="0" fillId="0" borderId="0"/>
    <xf numFmtId="0" fontId="2" fillId="0" borderId="0"/>
    <xf numFmtId="0" fontId="2" fillId="0" borderId="0"/>
    <xf numFmtId="9" fontId="2" fillId="0" borderId="0" applyFill="0" applyBorder="0" applyAlignment="0" applyProtection="0"/>
    <xf numFmtId="43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36">
    <xf numFmtId="0" fontId="0" fillId="0" borderId="0" xfId="0"/>
    <xf numFmtId="0" fontId="3" fillId="4" borderId="6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0" fillId="0" borderId="2" xfId="0" applyBorder="1"/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164" fontId="3" fillId="4" borderId="9" xfId="0" applyNumberFormat="1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0" fillId="4" borderId="4" xfId="0" applyFill="1" applyBorder="1"/>
    <xf numFmtId="0" fontId="0" fillId="0" borderId="2" xfId="0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1" xfId="0" applyBorder="1"/>
    <xf numFmtId="0" fontId="0" fillId="0" borderId="9" xfId="0" applyBorder="1"/>
    <xf numFmtId="0" fontId="0" fillId="0" borderId="3" xfId="0" applyBorder="1"/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5" xfId="0" applyBorder="1"/>
    <xf numFmtId="0" fontId="3" fillId="8" borderId="2" xfId="0" applyFont="1" applyFill="1" applyBorder="1" applyAlignment="1">
      <alignment horizontal="center"/>
    </xf>
    <xf numFmtId="164" fontId="3" fillId="8" borderId="2" xfId="0" applyNumberFormat="1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0" fillId="8" borderId="2" xfId="0" applyFill="1" applyBorder="1"/>
    <xf numFmtId="0" fontId="3" fillId="4" borderId="15" xfId="0" applyFont="1" applyFill="1" applyBorder="1" applyAlignment="1">
      <alignment horizontal="center"/>
    </xf>
    <xf numFmtId="0" fontId="3" fillId="4" borderId="16" xfId="0" applyFont="1" applyFill="1" applyBorder="1" applyAlignment="1">
      <alignment horizontal="center"/>
    </xf>
    <xf numFmtId="0" fontId="0" fillId="0" borderId="19" xfId="0" applyBorder="1"/>
    <xf numFmtId="0" fontId="0" fillId="0" borderId="18" xfId="0" applyBorder="1"/>
    <xf numFmtId="0" fontId="0" fillId="0" borderId="18" xfId="0" applyBorder="1" applyAlignment="1">
      <alignment horizontal="center"/>
    </xf>
    <xf numFmtId="0" fontId="0" fillId="0" borderId="20" xfId="0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0" fillId="8" borderId="0" xfId="0" applyFill="1"/>
    <xf numFmtId="0" fontId="10" fillId="0" borderId="0" xfId="0" applyFont="1" applyAlignment="1">
      <alignment vertical="center"/>
    </xf>
    <xf numFmtId="0" fontId="3" fillId="8" borderId="0" xfId="0" applyFont="1" applyFill="1" applyAlignment="1">
      <alignment horizontal="center"/>
    </xf>
    <xf numFmtId="0" fontId="3" fillId="9" borderId="2" xfId="0" applyFont="1" applyFill="1" applyBorder="1" applyAlignment="1">
      <alignment horizontal="center"/>
    </xf>
    <xf numFmtId="0" fontId="11" fillId="0" borderId="0" xfId="0" applyFont="1"/>
    <xf numFmtId="49" fontId="5" fillId="9" borderId="2" xfId="0" applyNumberFormat="1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9" borderId="2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49" fontId="3" fillId="9" borderId="2" xfId="0" applyNumberFormat="1" applyFont="1" applyFill="1" applyBorder="1" applyAlignment="1">
      <alignment horizontal="center"/>
    </xf>
    <xf numFmtId="49" fontId="3" fillId="9" borderId="2" xfId="4" applyNumberFormat="1" applyFont="1" applyFill="1" applyBorder="1" applyAlignment="1">
      <alignment horizontal="center"/>
    </xf>
    <xf numFmtId="0" fontId="0" fillId="2" borderId="2" xfId="0" applyFill="1" applyBorder="1"/>
    <xf numFmtId="0" fontId="3" fillId="9" borderId="9" xfId="0" applyFont="1" applyFill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16" fontId="8" fillId="2" borderId="1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165" fontId="8" fillId="2" borderId="9" xfId="0" applyNumberFormat="1" applyFont="1" applyFill="1" applyBorder="1" applyAlignment="1">
      <alignment horizontal="center" vertical="center"/>
    </xf>
    <xf numFmtId="165" fontId="15" fillId="2" borderId="0" xfId="0" applyNumberFormat="1" applyFont="1" applyFill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/>
    </xf>
    <xf numFmtId="165" fontId="8" fillId="2" borderId="2" xfId="2" applyNumberFormat="1" applyFont="1" applyFill="1" applyBorder="1" applyAlignment="1" applyProtection="1">
      <alignment horizontal="center" vertical="center" wrapText="1"/>
      <protection locked="0"/>
    </xf>
    <xf numFmtId="165" fontId="13" fillId="2" borderId="2" xfId="2" applyNumberFormat="1" applyFont="1" applyFill="1" applyBorder="1" applyAlignment="1" applyProtection="1">
      <alignment horizontal="center" vertical="center"/>
      <protection locked="0"/>
    </xf>
    <xf numFmtId="165" fontId="1" fillId="2" borderId="2" xfId="0" applyNumberFormat="1" applyFont="1" applyFill="1" applyBorder="1" applyAlignment="1">
      <alignment horizontal="center"/>
    </xf>
    <xf numFmtId="165" fontId="13" fillId="2" borderId="2" xfId="0" applyNumberFormat="1" applyFont="1" applyFill="1" applyBorder="1" applyAlignment="1">
      <alignment horizontal="center" vertical="center"/>
    </xf>
    <xf numFmtId="165" fontId="1" fillId="2" borderId="9" xfId="0" applyNumberFormat="1" applyFont="1" applyFill="1" applyBorder="1" applyAlignment="1">
      <alignment horizontal="center" vertical="center"/>
    </xf>
    <xf numFmtId="165" fontId="16" fillId="2" borderId="0" xfId="0" applyNumberFormat="1" applyFont="1" applyFill="1" applyAlignment="1">
      <alignment horizontal="center" vertical="center"/>
    </xf>
    <xf numFmtId="165" fontId="8" fillId="2" borderId="1" xfId="0" applyNumberFormat="1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165" fontId="8" fillId="2" borderId="3" xfId="0" applyNumberFormat="1" applyFont="1" applyFill="1" applyBorder="1" applyAlignment="1">
      <alignment horizontal="center" vertical="center"/>
    </xf>
    <xf numFmtId="2" fontId="8" fillId="2" borderId="4" xfId="2" applyNumberFormat="1" applyFont="1" applyFill="1" applyBorder="1" applyAlignment="1" applyProtection="1">
      <alignment horizontal="center" vertical="center" wrapText="1"/>
      <protection locked="0"/>
    </xf>
    <xf numFmtId="165" fontId="1" fillId="2" borderId="5" xfId="0" applyNumberFormat="1" applyFont="1" applyFill="1" applyBorder="1" applyAlignment="1">
      <alignment horizontal="center" vertical="center"/>
    </xf>
    <xf numFmtId="16" fontId="15" fillId="2" borderId="0" xfId="0" applyNumberFormat="1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20" fontId="16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/>
    </xf>
    <xf numFmtId="16" fontId="2" fillId="2" borderId="0" xfId="0" applyNumberFormat="1" applyFont="1" applyFill="1" applyAlignment="1">
      <alignment horizontal="center" vertical="center"/>
    </xf>
    <xf numFmtId="20" fontId="15" fillId="2" borderId="0" xfId="0" applyNumberFormat="1" applyFont="1" applyFill="1" applyAlignment="1">
      <alignment horizontal="center" vertical="center"/>
    </xf>
    <xf numFmtId="20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 vertical="center"/>
    </xf>
    <xf numFmtId="165" fontId="19" fillId="2" borderId="0" xfId="0" applyNumberFormat="1" applyFont="1" applyFill="1" applyAlignment="1">
      <alignment horizontal="center" vertical="center"/>
    </xf>
    <xf numFmtId="165" fontId="20" fillId="2" borderId="0" xfId="0" applyNumberFormat="1" applyFont="1" applyFill="1" applyAlignment="1">
      <alignment horizontal="center"/>
    </xf>
    <xf numFmtId="16" fontId="19" fillId="2" borderId="0" xfId="0" applyNumberFormat="1" applyFont="1" applyFill="1" applyAlignment="1">
      <alignment horizontal="center" vertical="center"/>
    </xf>
    <xf numFmtId="165" fontId="18" fillId="2" borderId="0" xfId="2" applyNumberFormat="1" applyFont="1" applyFill="1" applyAlignment="1" applyProtection="1">
      <alignment vertical="center"/>
      <protection locked="0"/>
    </xf>
    <xf numFmtId="0" fontId="21" fillId="2" borderId="0" xfId="0" applyFont="1" applyFill="1" applyAlignment="1">
      <alignment vertical="center"/>
    </xf>
    <xf numFmtId="0" fontId="22" fillId="2" borderId="0" xfId="2" applyFont="1" applyFill="1" applyAlignment="1" applyProtection="1">
      <alignment vertical="center"/>
      <protection locked="0"/>
    </xf>
    <xf numFmtId="0" fontId="0" fillId="2" borderId="0" xfId="0" applyFill="1"/>
    <xf numFmtId="16" fontId="25" fillId="2" borderId="0" xfId="0" applyNumberFormat="1" applyFont="1" applyFill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20" fontId="27" fillId="2" borderId="0" xfId="0" applyNumberFormat="1" applyFont="1" applyFill="1" applyAlignment="1">
      <alignment horizontal="center" vertical="center"/>
    </xf>
    <xf numFmtId="20" fontId="28" fillId="2" borderId="0" xfId="0" applyNumberFormat="1" applyFont="1" applyFill="1" applyAlignment="1">
      <alignment horizontal="center" vertical="center"/>
    </xf>
    <xf numFmtId="20" fontId="8" fillId="7" borderId="24" xfId="0" applyNumberFormat="1" applyFont="1" applyFill="1" applyBorder="1" applyAlignment="1">
      <alignment horizontal="center" vertical="center"/>
    </xf>
    <xf numFmtId="16" fontId="8" fillId="6" borderId="24" xfId="0" applyNumberFormat="1" applyFont="1" applyFill="1" applyBorder="1" applyAlignment="1">
      <alignment horizontal="center" vertical="center"/>
    </xf>
    <xf numFmtId="16" fontId="8" fillId="2" borderId="24" xfId="0" applyNumberFormat="1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1" fontId="24" fillId="2" borderId="24" xfId="2" applyNumberFormat="1" applyFont="1" applyFill="1" applyBorder="1" applyAlignment="1" applyProtection="1">
      <alignment horizontal="center" vertical="center"/>
      <protection locked="0"/>
    </xf>
    <xf numFmtId="1" fontId="24" fillId="0" borderId="24" xfId="2" applyNumberFormat="1" applyFont="1" applyBorder="1" applyAlignment="1" applyProtection="1">
      <alignment horizontal="center" vertical="center"/>
      <protection locked="0"/>
    </xf>
    <xf numFmtId="0" fontId="24" fillId="10" borderId="24" xfId="0" applyFont="1" applyFill="1" applyBorder="1" applyAlignment="1">
      <alignment horizontal="center"/>
    </xf>
    <xf numFmtId="0" fontId="29" fillId="10" borderId="24" xfId="0" applyFont="1" applyFill="1" applyBorder="1" applyAlignment="1">
      <alignment horizontal="center" wrapText="1"/>
    </xf>
    <xf numFmtId="16" fontId="8" fillId="11" borderId="24" xfId="0" applyNumberFormat="1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24" fillId="10" borderId="25" xfId="0" applyFont="1" applyFill="1" applyBorder="1" applyAlignment="1">
      <alignment horizontal="center"/>
    </xf>
    <xf numFmtId="16" fontId="8" fillId="12" borderId="24" xfId="0" applyNumberFormat="1" applyFont="1" applyFill="1" applyBorder="1" applyAlignment="1">
      <alignment horizontal="center" vertical="center"/>
    </xf>
    <xf numFmtId="0" fontId="29" fillId="10" borderId="24" xfId="0" applyFont="1" applyFill="1" applyBorder="1" applyAlignment="1">
      <alignment horizontal="center"/>
    </xf>
    <xf numFmtId="0" fontId="1" fillId="6" borderId="26" xfId="0" applyFont="1" applyFill="1" applyBorder="1" applyAlignment="1">
      <alignment horizontal="center" vertical="center"/>
    </xf>
    <xf numFmtId="0" fontId="1" fillId="6" borderId="27" xfId="0" applyFont="1" applyFill="1" applyBorder="1" applyAlignment="1">
      <alignment horizontal="center" vertical="center"/>
    </xf>
    <xf numFmtId="16" fontId="8" fillId="6" borderId="28" xfId="0" applyNumberFormat="1" applyFont="1" applyFill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20" fontId="1" fillId="7" borderId="29" xfId="0" applyNumberFormat="1" applyFont="1" applyFill="1" applyBorder="1" applyAlignment="1">
      <alignment horizontal="center" vertical="center"/>
    </xf>
    <xf numFmtId="0" fontId="1" fillId="6" borderId="25" xfId="0" applyFont="1" applyFill="1" applyBorder="1" applyAlignment="1">
      <alignment horizontal="center" vertical="center"/>
    </xf>
    <xf numFmtId="16" fontId="8" fillId="6" borderId="29" xfId="0" applyNumberFormat="1" applyFont="1" applyFill="1" applyBorder="1" applyAlignment="1">
      <alignment horizontal="center" vertical="center"/>
    </xf>
    <xf numFmtId="0" fontId="29" fillId="2" borderId="25" xfId="0" applyFont="1" applyFill="1" applyBorder="1" applyAlignment="1">
      <alignment horizontal="center"/>
    </xf>
    <xf numFmtId="16" fontId="8" fillId="11" borderId="27" xfId="0" applyNumberFormat="1" applyFont="1" applyFill="1" applyBorder="1" applyAlignment="1">
      <alignment horizontal="center" vertical="center"/>
    </xf>
    <xf numFmtId="0" fontId="1" fillId="6" borderId="24" xfId="0" applyFont="1" applyFill="1" applyBorder="1" applyAlignment="1">
      <alignment horizontal="center" vertical="center"/>
    </xf>
    <xf numFmtId="16" fontId="8" fillId="6" borderId="27" xfId="0" applyNumberFormat="1" applyFont="1" applyFill="1" applyBorder="1" applyAlignment="1">
      <alignment horizontal="center" vertical="center"/>
    </xf>
    <xf numFmtId="0" fontId="24" fillId="10" borderId="24" xfId="0" applyFont="1" applyFill="1" applyBorder="1" applyAlignment="1">
      <alignment horizontal="center" wrapText="1"/>
    </xf>
    <xf numFmtId="0" fontId="30" fillId="10" borderId="24" xfId="0" applyFont="1" applyFill="1" applyBorder="1" applyAlignment="1">
      <alignment horizontal="center" wrapText="1"/>
    </xf>
    <xf numFmtId="0" fontId="31" fillId="13" borderId="24" xfId="0" applyFont="1" applyFill="1" applyBorder="1" applyAlignment="1">
      <alignment horizontal="center"/>
    </xf>
    <xf numFmtId="1" fontId="24" fillId="14" borderId="24" xfId="2" applyNumberFormat="1" applyFont="1" applyFill="1" applyBorder="1" applyAlignment="1" applyProtection="1">
      <alignment horizontal="center" vertical="center"/>
      <protection locked="0"/>
    </xf>
    <xf numFmtId="20" fontId="8" fillId="14" borderId="24" xfId="0" applyNumberFormat="1" applyFont="1" applyFill="1" applyBorder="1" applyAlignment="1">
      <alignment horizontal="center" vertical="center"/>
    </xf>
    <xf numFmtId="16" fontId="8" fillId="12" borderId="27" xfId="0" applyNumberFormat="1" applyFont="1" applyFill="1" applyBorder="1" applyAlignment="1">
      <alignment horizontal="center" vertical="center"/>
    </xf>
    <xf numFmtId="0" fontId="24" fillId="10" borderId="31" xfId="0" applyFont="1" applyFill="1" applyBorder="1" applyAlignment="1">
      <alignment horizontal="center"/>
    </xf>
    <xf numFmtId="16" fontId="8" fillId="2" borderId="27" xfId="0" applyNumberFormat="1" applyFont="1" applyFill="1" applyBorder="1" applyAlignment="1">
      <alignment horizontal="center" vertical="center"/>
    </xf>
    <xf numFmtId="0" fontId="24" fillId="2" borderId="30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14" fillId="0" borderId="21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23" fillId="2" borderId="0" xfId="0" applyFont="1" applyFill="1" applyAlignment="1">
      <alignment horizontal="center" vertical="center" wrapText="1"/>
    </xf>
  </cellXfs>
  <cellStyles count="29">
    <cellStyle name="Moeda 2" xfId="5" xr:uid="{00000000-0005-0000-0000-000000000000}"/>
    <cellStyle name="Moeda 2 2" xfId="10" xr:uid="{00000000-0005-0000-0000-000001000000}"/>
    <cellStyle name="Moeda 2 2 2" xfId="18" xr:uid="{00000000-0005-0000-0000-000002000000}"/>
    <cellStyle name="Moeda 2 2 3" xfId="26" xr:uid="{00000000-0005-0000-0000-000003000000}"/>
    <cellStyle name="Moeda 2 3" xfId="14" xr:uid="{00000000-0005-0000-0000-000004000000}"/>
    <cellStyle name="Moeda 2 4" xfId="22" xr:uid="{00000000-0005-0000-0000-000005000000}"/>
    <cellStyle name="Normal" xfId="0" builtinId="0"/>
    <cellStyle name="Normal 13" xfId="1" xr:uid="{00000000-0005-0000-0000-000007000000}"/>
    <cellStyle name="Normal 2" xfId="2" xr:uid="{00000000-0005-0000-0000-000008000000}"/>
    <cellStyle name="Normal 3" xfId="7" xr:uid="{00000000-0005-0000-0000-000009000000}"/>
    <cellStyle name="Porcentagem 2" xfId="3" xr:uid="{00000000-0005-0000-0000-00000A000000}"/>
    <cellStyle name="Vírgula" xfId="4" builtinId="3"/>
    <cellStyle name="Vírgula 2" xfId="8" xr:uid="{00000000-0005-0000-0000-00000C000000}"/>
    <cellStyle name="Vírgula 2 2" xfId="12" xr:uid="{00000000-0005-0000-0000-00000D000000}"/>
    <cellStyle name="Vírgula 2 2 2" xfId="20" xr:uid="{00000000-0005-0000-0000-00000E000000}"/>
    <cellStyle name="Vírgula 2 2 3" xfId="28" xr:uid="{00000000-0005-0000-0000-00000F000000}"/>
    <cellStyle name="Vírgula 2 3" xfId="16" xr:uid="{00000000-0005-0000-0000-000010000000}"/>
    <cellStyle name="Vírgula 2 4" xfId="24" xr:uid="{00000000-0005-0000-0000-000011000000}"/>
    <cellStyle name="Vírgula 3" xfId="6" xr:uid="{00000000-0005-0000-0000-000012000000}"/>
    <cellStyle name="Vírgula 3 2" xfId="11" xr:uid="{00000000-0005-0000-0000-000013000000}"/>
    <cellStyle name="Vírgula 3 2 2" xfId="19" xr:uid="{00000000-0005-0000-0000-000014000000}"/>
    <cellStyle name="Vírgula 3 2 3" xfId="27" xr:uid="{00000000-0005-0000-0000-000015000000}"/>
    <cellStyle name="Vírgula 3 3" xfId="15" xr:uid="{00000000-0005-0000-0000-000016000000}"/>
    <cellStyle name="Vírgula 3 4" xfId="23" xr:uid="{00000000-0005-0000-0000-000017000000}"/>
    <cellStyle name="Vírgula 4" xfId="9" xr:uid="{00000000-0005-0000-0000-000018000000}"/>
    <cellStyle name="Vírgula 4 2" xfId="17" xr:uid="{00000000-0005-0000-0000-000019000000}"/>
    <cellStyle name="Vírgula 4 3" xfId="25" xr:uid="{00000000-0005-0000-0000-00001A000000}"/>
    <cellStyle name="Vírgula 5" xfId="13" xr:uid="{00000000-0005-0000-0000-00001B000000}"/>
    <cellStyle name="Vírgula 6" xfId="21" xr:uid="{00000000-0005-0000-0000-00001C00000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9" defaultPivotStyle="PivotStyleLight16">
    <tableStyle name="Estilo de Tabela Dinâmica 1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zema0.sharepoint.com/sites/distribuicao/Documentos%20Compartilhados/ELETROZEMA/1%20Tela%20Principal/12%20Transporte/Previs&#227;o%20de%20Descarga/PLANILHA%20DE%20DESCARGA/PREVIS&#213;ES%202018/PREVIS&#195;O%20OUTUBRO%20201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0.1.33\distribuicao\ELETROZEMA\1%20Tela%20Principal\12%20Transporte\Previs&#227;o%20de%20Descarga\PLANILHA%20DE%20DESCARGA\PREVIS&#213;ES%202018\PREVIS&#195;O%20OUTUBRO%20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-10"/>
      <sheetName val="02-10"/>
      <sheetName val="03-10"/>
      <sheetName val="04-10"/>
      <sheetName val="05-10"/>
      <sheetName val="08-10"/>
      <sheetName val="09-10"/>
      <sheetName val="10-10"/>
      <sheetName val="11-10"/>
      <sheetName val="15-10"/>
      <sheetName val="16-10"/>
      <sheetName val="17-10"/>
      <sheetName val="18-10"/>
      <sheetName val="19-10"/>
      <sheetName val="22-10"/>
      <sheetName val="23-10"/>
      <sheetName val="24-10"/>
      <sheetName val="26-10"/>
      <sheetName val="29-10"/>
      <sheetName val="30-10"/>
      <sheetName val="31-10"/>
      <sheetName val="IMPRESSÃO"/>
      <sheetName val="TEL. MADER"/>
      <sheetName val="TEL. VC CARGAS"/>
      <sheetName val="TEL OUTROS"/>
      <sheetName val="MODELO"/>
      <sheetName val="BANCO DE DAD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-10"/>
      <sheetName val="02-10"/>
      <sheetName val="03-10"/>
      <sheetName val="04-10"/>
      <sheetName val="05-10"/>
      <sheetName val="08-10"/>
      <sheetName val="09-10"/>
      <sheetName val="10-10"/>
      <sheetName val="11-10"/>
      <sheetName val="15-10"/>
      <sheetName val="16-10"/>
      <sheetName val="17-10"/>
      <sheetName val="18-10"/>
      <sheetName val="19-10"/>
      <sheetName val="22-10"/>
      <sheetName val="23-10"/>
      <sheetName val="24-10"/>
      <sheetName val="26-10"/>
      <sheetName val="29-10"/>
      <sheetName val="30-10"/>
      <sheetName val="31-10"/>
      <sheetName val="IMPRESSÃO"/>
      <sheetName val="TEL. MADER"/>
      <sheetName val="TEL. VC CARGAS"/>
      <sheetName val="TEL OUTROS"/>
      <sheetName val="MODELO"/>
      <sheetName val="BANCO DE DAD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C68"/>
  <sheetViews>
    <sheetView topLeftCell="A22" workbookViewId="0">
      <selection activeCell="C40" sqref="C40"/>
    </sheetView>
  </sheetViews>
  <sheetFormatPr defaultColWidth="9.140625" defaultRowHeight="15" x14ac:dyDescent="0.25"/>
  <cols>
    <col min="1" max="1" width="20.42578125" bestFit="1" customWidth="1"/>
    <col min="2" max="2" width="12.28515625" bestFit="1" customWidth="1"/>
    <col min="3" max="3" width="20.28515625" customWidth="1"/>
  </cols>
  <sheetData>
    <row r="1" spans="1:3" ht="16.5" thickBot="1" x14ac:dyDescent="0.3">
      <c r="A1" s="6" t="s">
        <v>0</v>
      </c>
      <c r="B1" s="11" t="s">
        <v>1</v>
      </c>
      <c r="C1" s="7" t="s">
        <v>2</v>
      </c>
    </row>
    <row r="2" spans="1:3" ht="15.75" x14ac:dyDescent="0.25">
      <c r="A2" s="1" t="s">
        <v>3</v>
      </c>
      <c r="B2" s="12"/>
      <c r="C2" s="9" t="s">
        <v>4</v>
      </c>
    </row>
    <row r="3" spans="1:3" ht="15.75" x14ac:dyDescent="0.25">
      <c r="A3" s="2" t="s">
        <v>5</v>
      </c>
      <c r="B3" s="3" t="s">
        <v>6</v>
      </c>
      <c r="C3" s="4" t="s">
        <v>7</v>
      </c>
    </row>
    <row r="4" spans="1:3" ht="15.75" x14ac:dyDescent="0.25">
      <c r="A4" s="2" t="s">
        <v>8</v>
      </c>
      <c r="B4" s="3" t="s">
        <v>9</v>
      </c>
      <c r="C4" s="4" t="s">
        <v>10</v>
      </c>
    </row>
    <row r="5" spans="1:3" ht="15.75" x14ac:dyDescent="0.25">
      <c r="A5" s="2" t="s">
        <v>11</v>
      </c>
      <c r="B5" s="3" t="s">
        <v>12</v>
      </c>
      <c r="C5" s="4" t="s">
        <v>13</v>
      </c>
    </row>
    <row r="6" spans="1:3" ht="15.75" x14ac:dyDescent="0.25">
      <c r="A6" s="2" t="s">
        <v>14</v>
      </c>
      <c r="B6" s="3" t="s">
        <v>15</v>
      </c>
      <c r="C6" s="4" t="s">
        <v>16</v>
      </c>
    </row>
    <row r="7" spans="1:3" ht="15.75" x14ac:dyDescent="0.25">
      <c r="A7" s="2" t="s">
        <v>17</v>
      </c>
      <c r="B7" s="3"/>
      <c r="C7" s="4" t="s">
        <v>18</v>
      </c>
    </row>
    <row r="8" spans="1:3" ht="15.75" x14ac:dyDescent="0.25">
      <c r="A8" s="2" t="s">
        <v>19</v>
      </c>
      <c r="B8" s="3" t="s">
        <v>20</v>
      </c>
      <c r="C8" s="4" t="s">
        <v>21</v>
      </c>
    </row>
    <row r="9" spans="1:3" ht="15.75" x14ac:dyDescent="0.25">
      <c r="A9" s="2" t="s">
        <v>22</v>
      </c>
      <c r="B9" s="3" t="s">
        <v>23</v>
      </c>
      <c r="C9" s="4" t="s">
        <v>24</v>
      </c>
    </row>
    <row r="10" spans="1:3" ht="15.75" x14ac:dyDescent="0.25">
      <c r="A10" s="2" t="s">
        <v>25</v>
      </c>
      <c r="B10" s="3" t="s">
        <v>26</v>
      </c>
      <c r="C10" s="4" t="s">
        <v>27</v>
      </c>
    </row>
    <row r="11" spans="1:3" ht="15.75" x14ac:dyDescent="0.25">
      <c r="A11" s="2" t="s">
        <v>28</v>
      </c>
      <c r="B11" s="3"/>
      <c r="C11" s="4" t="s">
        <v>29</v>
      </c>
    </row>
    <row r="12" spans="1:3" ht="15.75" x14ac:dyDescent="0.25">
      <c r="A12" s="2" t="s">
        <v>30</v>
      </c>
      <c r="B12" s="3" t="s">
        <v>31</v>
      </c>
      <c r="C12" s="4" t="s">
        <v>32</v>
      </c>
    </row>
    <row r="13" spans="1:3" ht="15.75" x14ac:dyDescent="0.25">
      <c r="A13" s="2" t="s">
        <v>33</v>
      </c>
      <c r="B13" s="3" t="s">
        <v>34</v>
      </c>
      <c r="C13" s="4" t="s">
        <v>35</v>
      </c>
    </row>
    <row r="14" spans="1:3" ht="15.75" x14ac:dyDescent="0.25">
      <c r="A14" s="2" t="s">
        <v>36</v>
      </c>
      <c r="B14" s="3" t="s">
        <v>37</v>
      </c>
      <c r="C14" s="4" t="s">
        <v>38</v>
      </c>
    </row>
    <row r="15" spans="1:3" ht="15.75" x14ac:dyDescent="0.25">
      <c r="A15" s="2" t="s">
        <v>39</v>
      </c>
      <c r="B15" s="3"/>
      <c r="C15" s="4" t="s">
        <v>40</v>
      </c>
    </row>
    <row r="16" spans="1:3" ht="15.75" x14ac:dyDescent="0.25">
      <c r="A16" s="2" t="s">
        <v>41</v>
      </c>
      <c r="B16" s="3" t="s">
        <v>42</v>
      </c>
      <c r="C16" s="4" t="s">
        <v>43</v>
      </c>
    </row>
    <row r="17" spans="1:3" ht="15.75" x14ac:dyDescent="0.25">
      <c r="A17" s="2" t="s">
        <v>44</v>
      </c>
      <c r="B17" s="3" t="s">
        <v>45</v>
      </c>
      <c r="C17" s="4" t="s">
        <v>46</v>
      </c>
    </row>
    <row r="18" spans="1:3" ht="15.75" x14ac:dyDescent="0.25">
      <c r="A18" s="2" t="s">
        <v>47</v>
      </c>
      <c r="B18" s="3"/>
      <c r="C18" s="4" t="s">
        <v>48</v>
      </c>
    </row>
    <row r="19" spans="1:3" ht="15.75" x14ac:dyDescent="0.25">
      <c r="A19" s="2" t="s">
        <v>49</v>
      </c>
      <c r="B19" s="3" t="s">
        <v>50</v>
      </c>
      <c r="C19" s="4" t="s">
        <v>51</v>
      </c>
    </row>
    <row r="20" spans="1:3" ht="15.75" x14ac:dyDescent="0.25">
      <c r="A20" s="2" t="s">
        <v>52</v>
      </c>
      <c r="B20" s="3"/>
      <c r="C20" s="4" t="s">
        <v>53</v>
      </c>
    </row>
    <row r="21" spans="1:3" ht="15.75" x14ac:dyDescent="0.25">
      <c r="A21" s="2" t="s">
        <v>54</v>
      </c>
      <c r="B21" s="3" t="s">
        <v>55</v>
      </c>
      <c r="C21" s="4" t="s">
        <v>56</v>
      </c>
    </row>
    <row r="22" spans="1:3" ht="15.75" x14ac:dyDescent="0.25">
      <c r="A22" s="2" t="s">
        <v>57</v>
      </c>
      <c r="B22" s="3" t="s">
        <v>58</v>
      </c>
      <c r="C22" s="8" t="s">
        <v>59</v>
      </c>
    </row>
    <row r="23" spans="1:3" ht="15.75" x14ac:dyDescent="0.25">
      <c r="A23" s="2" t="s">
        <v>60</v>
      </c>
      <c r="B23" s="3"/>
      <c r="C23" s="8" t="s">
        <v>61</v>
      </c>
    </row>
    <row r="24" spans="1:3" ht="15.75" x14ac:dyDescent="0.25">
      <c r="A24" s="2" t="s">
        <v>62</v>
      </c>
      <c r="B24" s="3" t="s">
        <v>63</v>
      </c>
      <c r="C24" s="4" t="s">
        <v>64</v>
      </c>
    </row>
    <row r="25" spans="1:3" ht="15.75" x14ac:dyDescent="0.25">
      <c r="A25" s="2" t="s">
        <v>65</v>
      </c>
      <c r="B25" s="3"/>
      <c r="C25" s="4" t="s">
        <v>66</v>
      </c>
    </row>
    <row r="26" spans="1:3" ht="15.75" x14ac:dyDescent="0.25">
      <c r="A26" s="2" t="s">
        <v>67</v>
      </c>
      <c r="B26" s="3" t="s">
        <v>68</v>
      </c>
      <c r="C26" s="4" t="s">
        <v>69</v>
      </c>
    </row>
    <row r="27" spans="1:3" ht="15.75" x14ac:dyDescent="0.25">
      <c r="A27" s="2" t="s">
        <v>70</v>
      </c>
      <c r="B27" s="3" t="s">
        <v>71</v>
      </c>
      <c r="C27" s="4" t="s">
        <v>72</v>
      </c>
    </row>
    <row r="28" spans="1:3" ht="15.75" x14ac:dyDescent="0.25">
      <c r="A28" s="2" t="s">
        <v>73</v>
      </c>
      <c r="B28" s="3" t="s">
        <v>74</v>
      </c>
      <c r="C28" s="4" t="s">
        <v>75</v>
      </c>
    </row>
    <row r="29" spans="1:3" ht="15.75" x14ac:dyDescent="0.25">
      <c r="A29" s="2" t="s">
        <v>76</v>
      </c>
      <c r="B29" s="3" t="s">
        <v>77</v>
      </c>
      <c r="C29" s="4" t="s">
        <v>78</v>
      </c>
    </row>
    <row r="30" spans="1:3" ht="15.75" x14ac:dyDescent="0.25">
      <c r="A30" s="2" t="s">
        <v>79</v>
      </c>
      <c r="B30" s="3"/>
      <c r="C30" s="4" t="s">
        <v>80</v>
      </c>
    </row>
    <row r="31" spans="1:3" ht="15.75" x14ac:dyDescent="0.25">
      <c r="A31" s="2" t="s">
        <v>81</v>
      </c>
      <c r="B31" s="3" t="s">
        <v>82</v>
      </c>
      <c r="C31" s="4" t="s">
        <v>7</v>
      </c>
    </row>
    <row r="32" spans="1:3" ht="15.75" x14ac:dyDescent="0.25">
      <c r="A32" s="2" t="s">
        <v>83</v>
      </c>
      <c r="B32" s="3"/>
      <c r="C32" s="4" t="s">
        <v>84</v>
      </c>
    </row>
    <row r="33" spans="1:3" ht="15.75" x14ac:dyDescent="0.25">
      <c r="A33" s="2" t="s">
        <v>85</v>
      </c>
      <c r="B33" s="3"/>
      <c r="C33" s="4" t="s">
        <v>86</v>
      </c>
    </row>
    <row r="34" spans="1:3" ht="15.75" x14ac:dyDescent="0.25">
      <c r="A34" s="2" t="s">
        <v>87</v>
      </c>
      <c r="B34" s="3" t="s">
        <v>88</v>
      </c>
      <c r="C34" s="4" t="s">
        <v>89</v>
      </c>
    </row>
    <row r="35" spans="1:3" ht="15.75" x14ac:dyDescent="0.25">
      <c r="A35" s="2" t="s">
        <v>90</v>
      </c>
      <c r="B35" s="3" t="s">
        <v>91</v>
      </c>
      <c r="C35" s="4" t="s">
        <v>92</v>
      </c>
    </row>
    <row r="36" spans="1:3" ht="15.75" x14ac:dyDescent="0.25">
      <c r="A36" s="2" t="s">
        <v>93</v>
      </c>
      <c r="B36" s="3"/>
      <c r="C36" s="4" t="s">
        <v>94</v>
      </c>
    </row>
    <row r="37" spans="1:3" ht="15.75" x14ac:dyDescent="0.25">
      <c r="A37" s="2" t="s">
        <v>95</v>
      </c>
      <c r="B37" s="3"/>
      <c r="C37" s="4" t="s">
        <v>96</v>
      </c>
    </row>
    <row r="38" spans="1:3" ht="15.75" x14ac:dyDescent="0.25">
      <c r="A38" s="2" t="s">
        <v>97</v>
      </c>
      <c r="B38" s="3" t="s">
        <v>55</v>
      </c>
      <c r="C38" s="4" t="s">
        <v>98</v>
      </c>
    </row>
    <row r="39" spans="1:3" ht="15.75" x14ac:dyDescent="0.25">
      <c r="A39" s="2" t="s">
        <v>99</v>
      </c>
      <c r="B39" s="3" t="s">
        <v>100</v>
      </c>
      <c r="C39" s="4" t="s">
        <v>101</v>
      </c>
    </row>
    <row r="40" spans="1:3" ht="15.75" x14ac:dyDescent="0.25">
      <c r="A40" s="2" t="s">
        <v>102</v>
      </c>
      <c r="B40" s="3"/>
      <c r="C40" s="4" t="s">
        <v>103</v>
      </c>
    </row>
    <row r="41" spans="1:3" ht="15.75" x14ac:dyDescent="0.25">
      <c r="A41" s="2" t="s">
        <v>104</v>
      </c>
      <c r="B41" s="3"/>
      <c r="C41" s="4" t="s">
        <v>105</v>
      </c>
    </row>
    <row r="42" spans="1:3" ht="15.75" x14ac:dyDescent="0.25">
      <c r="A42" s="2" t="s">
        <v>106</v>
      </c>
      <c r="B42" s="3"/>
      <c r="C42" s="4" t="s">
        <v>107</v>
      </c>
    </row>
    <row r="43" spans="1:3" ht="15.75" x14ac:dyDescent="0.25">
      <c r="A43" s="2" t="s">
        <v>108</v>
      </c>
      <c r="B43" s="3"/>
      <c r="C43" s="4" t="s">
        <v>109</v>
      </c>
    </row>
    <row r="44" spans="1:3" ht="15.75" x14ac:dyDescent="0.25">
      <c r="A44" s="2" t="s">
        <v>110</v>
      </c>
      <c r="B44" s="3" t="s">
        <v>71</v>
      </c>
      <c r="C44" s="4" t="s">
        <v>111</v>
      </c>
    </row>
    <row r="45" spans="1:3" ht="15.75" x14ac:dyDescent="0.25">
      <c r="A45" s="2" t="s">
        <v>112</v>
      </c>
      <c r="B45" s="3"/>
      <c r="C45" s="4" t="s">
        <v>113</v>
      </c>
    </row>
    <row r="46" spans="1:3" ht="15.75" x14ac:dyDescent="0.25">
      <c r="A46" s="2" t="s">
        <v>114</v>
      </c>
      <c r="B46" s="3" t="s">
        <v>115</v>
      </c>
      <c r="C46" s="4" t="s">
        <v>116</v>
      </c>
    </row>
    <row r="47" spans="1:3" ht="15.75" x14ac:dyDescent="0.25">
      <c r="A47" s="2" t="s">
        <v>117</v>
      </c>
      <c r="B47" s="3" t="s">
        <v>118</v>
      </c>
      <c r="C47" s="4" t="s">
        <v>119</v>
      </c>
    </row>
    <row r="48" spans="1:3" ht="15.75" x14ac:dyDescent="0.25">
      <c r="A48" s="2" t="s">
        <v>120</v>
      </c>
      <c r="B48" s="3" t="s">
        <v>34</v>
      </c>
      <c r="C48" s="4" t="s">
        <v>121</v>
      </c>
    </row>
    <row r="49" spans="1:3" ht="15.75" x14ac:dyDescent="0.25">
      <c r="A49" s="2" t="s">
        <v>122</v>
      </c>
      <c r="B49" s="3"/>
      <c r="C49" s="4" t="s">
        <v>123</v>
      </c>
    </row>
    <row r="50" spans="1:3" ht="15.75" x14ac:dyDescent="0.25">
      <c r="A50" s="2" t="s">
        <v>124</v>
      </c>
      <c r="B50" s="3" t="s">
        <v>23</v>
      </c>
      <c r="C50" s="4" t="s">
        <v>125</v>
      </c>
    </row>
    <row r="51" spans="1:3" ht="15.75" x14ac:dyDescent="0.25">
      <c r="A51" s="2" t="s">
        <v>126</v>
      </c>
      <c r="B51" s="3" t="s">
        <v>127</v>
      </c>
      <c r="C51" s="4" t="s">
        <v>128</v>
      </c>
    </row>
    <row r="52" spans="1:3" ht="15.75" x14ac:dyDescent="0.25">
      <c r="A52" s="2" t="s">
        <v>129</v>
      </c>
      <c r="B52" s="3"/>
      <c r="C52" s="4" t="s">
        <v>130</v>
      </c>
    </row>
    <row r="53" spans="1:3" ht="15.75" x14ac:dyDescent="0.25">
      <c r="A53" s="2" t="s">
        <v>131</v>
      </c>
      <c r="B53" s="3"/>
      <c r="C53" s="4" t="s">
        <v>132</v>
      </c>
    </row>
    <row r="54" spans="1:3" ht="15.75" x14ac:dyDescent="0.25">
      <c r="A54" s="2" t="s">
        <v>133</v>
      </c>
      <c r="B54" s="3" t="s">
        <v>134</v>
      </c>
      <c r="C54" s="4" t="s">
        <v>135</v>
      </c>
    </row>
    <row r="55" spans="1:3" ht="15.75" x14ac:dyDescent="0.25">
      <c r="A55" s="2" t="s">
        <v>136</v>
      </c>
      <c r="B55" s="3"/>
      <c r="C55" s="4" t="s">
        <v>137</v>
      </c>
    </row>
    <row r="56" spans="1:3" ht="15.75" x14ac:dyDescent="0.25">
      <c r="A56" s="2" t="s">
        <v>138</v>
      </c>
      <c r="B56" s="3"/>
      <c r="C56" s="4" t="s">
        <v>139</v>
      </c>
    </row>
    <row r="57" spans="1:3" ht="15.75" x14ac:dyDescent="0.25">
      <c r="A57" s="2" t="s">
        <v>140</v>
      </c>
      <c r="B57" s="3" t="s">
        <v>141</v>
      </c>
      <c r="C57" s="4" t="s">
        <v>142</v>
      </c>
    </row>
    <row r="58" spans="1:3" ht="15.75" x14ac:dyDescent="0.25">
      <c r="A58" s="2" t="s">
        <v>143</v>
      </c>
      <c r="B58" s="3" t="s">
        <v>144</v>
      </c>
      <c r="C58" s="4" t="s">
        <v>145</v>
      </c>
    </row>
    <row r="59" spans="1:3" ht="15.75" x14ac:dyDescent="0.25">
      <c r="A59" s="2" t="s">
        <v>146</v>
      </c>
      <c r="B59" s="3" t="s">
        <v>147</v>
      </c>
      <c r="C59" s="4" t="s">
        <v>148</v>
      </c>
    </row>
    <row r="60" spans="1:3" ht="15.75" x14ac:dyDescent="0.25">
      <c r="A60" s="2" t="s">
        <v>149</v>
      </c>
      <c r="B60" s="3"/>
      <c r="C60" s="4" t="s">
        <v>150</v>
      </c>
    </row>
    <row r="61" spans="1:3" ht="15.75" x14ac:dyDescent="0.25">
      <c r="A61" s="2" t="s">
        <v>151</v>
      </c>
      <c r="B61" s="3" t="s">
        <v>152</v>
      </c>
      <c r="C61" s="4" t="s">
        <v>153</v>
      </c>
    </row>
    <row r="62" spans="1:3" ht="15.75" x14ac:dyDescent="0.25">
      <c r="A62" s="2" t="s">
        <v>154</v>
      </c>
      <c r="B62" s="3"/>
      <c r="C62" s="4" t="s">
        <v>155</v>
      </c>
    </row>
    <row r="63" spans="1:3" ht="15.75" x14ac:dyDescent="0.25">
      <c r="A63" s="2" t="s">
        <v>156</v>
      </c>
      <c r="B63" s="3" t="s">
        <v>157</v>
      </c>
      <c r="C63" s="4" t="s">
        <v>158</v>
      </c>
    </row>
    <row r="64" spans="1:3" ht="15.75" x14ac:dyDescent="0.25">
      <c r="A64" s="2" t="s">
        <v>159</v>
      </c>
      <c r="B64" s="3" t="s">
        <v>82</v>
      </c>
      <c r="C64" s="4" t="s">
        <v>160</v>
      </c>
    </row>
    <row r="65" spans="1:3" ht="15.75" x14ac:dyDescent="0.25">
      <c r="A65" s="2" t="s">
        <v>161</v>
      </c>
      <c r="B65" s="3"/>
      <c r="C65" s="4" t="s">
        <v>162</v>
      </c>
    </row>
    <row r="66" spans="1:3" ht="15.75" x14ac:dyDescent="0.25">
      <c r="A66" s="2" t="s">
        <v>163</v>
      </c>
      <c r="B66" s="3"/>
      <c r="C66" s="4" t="s">
        <v>164</v>
      </c>
    </row>
    <row r="67" spans="1:3" ht="16.5" thickBot="1" x14ac:dyDescent="0.3">
      <c r="A67" s="13" t="s">
        <v>165</v>
      </c>
      <c r="B67" s="15"/>
      <c r="C67" s="14" t="s">
        <v>166</v>
      </c>
    </row>
    <row r="68" spans="1:3" ht="15.75" x14ac:dyDescent="0.25">
      <c r="A68" s="31" t="s">
        <v>167</v>
      </c>
      <c r="C68" s="30" t="s">
        <v>168</v>
      </c>
    </row>
  </sheetData>
  <sortState xmlns:xlrd2="http://schemas.microsoft.com/office/spreadsheetml/2017/richdata2" ref="A2:C48">
    <sortCondition ref="A2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E44"/>
  <sheetViews>
    <sheetView topLeftCell="A31" workbookViewId="0">
      <selection activeCell="E53" sqref="E53"/>
    </sheetView>
  </sheetViews>
  <sheetFormatPr defaultRowHeight="15" x14ac:dyDescent="0.25"/>
  <cols>
    <col min="1" max="1" width="13.7109375" customWidth="1"/>
    <col min="2" max="2" width="20.140625" customWidth="1"/>
    <col min="3" max="3" width="16.5703125" customWidth="1"/>
    <col min="4" max="4" width="17.85546875" customWidth="1"/>
    <col min="5" max="5" width="22.42578125" customWidth="1"/>
    <col min="254" max="254" width="13.7109375" customWidth="1"/>
    <col min="255" max="255" width="18.42578125" customWidth="1"/>
    <col min="256" max="256" width="16.5703125" customWidth="1"/>
    <col min="257" max="257" width="17.85546875" customWidth="1"/>
    <col min="258" max="258" width="17.7109375" customWidth="1"/>
    <col min="510" max="510" width="13.7109375" customWidth="1"/>
    <col min="511" max="511" width="18.42578125" customWidth="1"/>
    <col min="512" max="512" width="16.5703125" customWidth="1"/>
    <col min="513" max="513" width="17.85546875" customWidth="1"/>
    <col min="514" max="514" width="17.7109375" customWidth="1"/>
    <col min="766" max="766" width="13.7109375" customWidth="1"/>
    <col min="767" max="767" width="18.42578125" customWidth="1"/>
    <col min="768" max="768" width="16.5703125" customWidth="1"/>
    <col min="769" max="769" width="17.85546875" customWidth="1"/>
    <col min="770" max="770" width="17.7109375" customWidth="1"/>
    <col min="1022" max="1022" width="13.7109375" customWidth="1"/>
    <col min="1023" max="1023" width="18.42578125" customWidth="1"/>
    <col min="1024" max="1024" width="16.5703125" customWidth="1"/>
    <col min="1025" max="1025" width="17.85546875" customWidth="1"/>
    <col min="1026" max="1026" width="17.7109375" customWidth="1"/>
    <col min="1278" max="1278" width="13.7109375" customWidth="1"/>
    <col min="1279" max="1279" width="18.42578125" customWidth="1"/>
    <col min="1280" max="1280" width="16.5703125" customWidth="1"/>
    <col min="1281" max="1281" width="17.85546875" customWidth="1"/>
    <col min="1282" max="1282" width="17.7109375" customWidth="1"/>
    <col min="1534" max="1534" width="13.7109375" customWidth="1"/>
    <col min="1535" max="1535" width="18.42578125" customWidth="1"/>
    <col min="1536" max="1536" width="16.5703125" customWidth="1"/>
    <col min="1537" max="1537" width="17.85546875" customWidth="1"/>
    <col min="1538" max="1538" width="17.7109375" customWidth="1"/>
    <col min="1790" max="1790" width="13.7109375" customWidth="1"/>
    <col min="1791" max="1791" width="18.42578125" customWidth="1"/>
    <col min="1792" max="1792" width="16.5703125" customWidth="1"/>
    <col min="1793" max="1793" width="17.85546875" customWidth="1"/>
    <col min="1794" max="1794" width="17.7109375" customWidth="1"/>
    <col min="2046" max="2046" width="13.7109375" customWidth="1"/>
    <col min="2047" max="2047" width="18.42578125" customWidth="1"/>
    <col min="2048" max="2048" width="16.5703125" customWidth="1"/>
    <col min="2049" max="2049" width="17.85546875" customWidth="1"/>
    <col min="2050" max="2050" width="17.7109375" customWidth="1"/>
    <col min="2302" max="2302" width="13.7109375" customWidth="1"/>
    <col min="2303" max="2303" width="18.42578125" customWidth="1"/>
    <col min="2304" max="2304" width="16.5703125" customWidth="1"/>
    <col min="2305" max="2305" width="17.85546875" customWidth="1"/>
    <col min="2306" max="2306" width="17.7109375" customWidth="1"/>
    <col min="2558" max="2558" width="13.7109375" customWidth="1"/>
    <col min="2559" max="2559" width="18.42578125" customWidth="1"/>
    <col min="2560" max="2560" width="16.5703125" customWidth="1"/>
    <col min="2561" max="2561" width="17.85546875" customWidth="1"/>
    <col min="2562" max="2562" width="17.7109375" customWidth="1"/>
    <col min="2814" max="2814" width="13.7109375" customWidth="1"/>
    <col min="2815" max="2815" width="18.42578125" customWidth="1"/>
    <col min="2816" max="2816" width="16.5703125" customWidth="1"/>
    <col min="2817" max="2817" width="17.85546875" customWidth="1"/>
    <col min="2818" max="2818" width="17.7109375" customWidth="1"/>
    <col min="3070" max="3070" width="13.7109375" customWidth="1"/>
    <col min="3071" max="3071" width="18.42578125" customWidth="1"/>
    <col min="3072" max="3072" width="16.5703125" customWidth="1"/>
    <col min="3073" max="3073" width="17.85546875" customWidth="1"/>
    <col min="3074" max="3074" width="17.7109375" customWidth="1"/>
    <col min="3326" max="3326" width="13.7109375" customWidth="1"/>
    <col min="3327" max="3327" width="18.42578125" customWidth="1"/>
    <col min="3328" max="3328" width="16.5703125" customWidth="1"/>
    <col min="3329" max="3329" width="17.85546875" customWidth="1"/>
    <col min="3330" max="3330" width="17.7109375" customWidth="1"/>
    <col min="3582" max="3582" width="13.7109375" customWidth="1"/>
    <col min="3583" max="3583" width="18.42578125" customWidth="1"/>
    <col min="3584" max="3584" width="16.5703125" customWidth="1"/>
    <col min="3585" max="3585" width="17.85546875" customWidth="1"/>
    <col min="3586" max="3586" width="17.7109375" customWidth="1"/>
    <col min="3838" max="3838" width="13.7109375" customWidth="1"/>
    <col min="3839" max="3839" width="18.42578125" customWidth="1"/>
    <col min="3840" max="3840" width="16.5703125" customWidth="1"/>
    <col min="3841" max="3841" width="17.85546875" customWidth="1"/>
    <col min="3842" max="3842" width="17.7109375" customWidth="1"/>
    <col min="4094" max="4094" width="13.7109375" customWidth="1"/>
    <col min="4095" max="4095" width="18.42578125" customWidth="1"/>
    <col min="4096" max="4096" width="16.5703125" customWidth="1"/>
    <col min="4097" max="4097" width="17.85546875" customWidth="1"/>
    <col min="4098" max="4098" width="17.7109375" customWidth="1"/>
    <col min="4350" max="4350" width="13.7109375" customWidth="1"/>
    <col min="4351" max="4351" width="18.42578125" customWidth="1"/>
    <col min="4352" max="4352" width="16.5703125" customWidth="1"/>
    <col min="4353" max="4353" width="17.85546875" customWidth="1"/>
    <col min="4354" max="4354" width="17.7109375" customWidth="1"/>
    <col min="4606" max="4606" width="13.7109375" customWidth="1"/>
    <col min="4607" max="4607" width="18.42578125" customWidth="1"/>
    <col min="4608" max="4608" width="16.5703125" customWidth="1"/>
    <col min="4609" max="4609" width="17.85546875" customWidth="1"/>
    <col min="4610" max="4610" width="17.7109375" customWidth="1"/>
    <col min="4862" max="4862" width="13.7109375" customWidth="1"/>
    <col min="4863" max="4863" width="18.42578125" customWidth="1"/>
    <col min="4864" max="4864" width="16.5703125" customWidth="1"/>
    <col min="4865" max="4865" width="17.85546875" customWidth="1"/>
    <col min="4866" max="4866" width="17.7109375" customWidth="1"/>
    <col min="5118" max="5118" width="13.7109375" customWidth="1"/>
    <col min="5119" max="5119" width="18.42578125" customWidth="1"/>
    <col min="5120" max="5120" width="16.5703125" customWidth="1"/>
    <col min="5121" max="5121" width="17.85546875" customWidth="1"/>
    <col min="5122" max="5122" width="17.7109375" customWidth="1"/>
    <col min="5374" max="5374" width="13.7109375" customWidth="1"/>
    <col min="5375" max="5375" width="18.42578125" customWidth="1"/>
    <col min="5376" max="5376" width="16.5703125" customWidth="1"/>
    <col min="5377" max="5377" width="17.85546875" customWidth="1"/>
    <col min="5378" max="5378" width="17.7109375" customWidth="1"/>
    <col min="5630" max="5630" width="13.7109375" customWidth="1"/>
    <col min="5631" max="5631" width="18.42578125" customWidth="1"/>
    <col min="5632" max="5632" width="16.5703125" customWidth="1"/>
    <col min="5633" max="5633" width="17.85546875" customWidth="1"/>
    <col min="5634" max="5634" width="17.7109375" customWidth="1"/>
    <col min="5886" max="5886" width="13.7109375" customWidth="1"/>
    <col min="5887" max="5887" width="18.42578125" customWidth="1"/>
    <col min="5888" max="5888" width="16.5703125" customWidth="1"/>
    <col min="5889" max="5889" width="17.85546875" customWidth="1"/>
    <col min="5890" max="5890" width="17.7109375" customWidth="1"/>
    <col min="6142" max="6142" width="13.7109375" customWidth="1"/>
    <col min="6143" max="6143" width="18.42578125" customWidth="1"/>
    <col min="6144" max="6144" width="16.5703125" customWidth="1"/>
    <col min="6145" max="6145" width="17.85546875" customWidth="1"/>
    <col min="6146" max="6146" width="17.7109375" customWidth="1"/>
    <col min="6398" max="6398" width="13.7109375" customWidth="1"/>
    <col min="6399" max="6399" width="18.42578125" customWidth="1"/>
    <col min="6400" max="6400" width="16.5703125" customWidth="1"/>
    <col min="6401" max="6401" width="17.85546875" customWidth="1"/>
    <col min="6402" max="6402" width="17.7109375" customWidth="1"/>
    <col min="6654" max="6654" width="13.7109375" customWidth="1"/>
    <col min="6655" max="6655" width="18.42578125" customWidth="1"/>
    <col min="6656" max="6656" width="16.5703125" customWidth="1"/>
    <col min="6657" max="6657" width="17.85546875" customWidth="1"/>
    <col min="6658" max="6658" width="17.7109375" customWidth="1"/>
    <col min="6910" max="6910" width="13.7109375" customWidth="1"/>
    <col min="6911" max="6911" width="18.42578125" customWidth="1"/>
    <col min="6912" max="6912" width="16.5703125" customWidth="1"/>
    <col min="6913" max="6913" width="17.85546875" customWidth="1"/>
    <col min="6914" max="6914" width="17.7109375" customWidth="1"/>
    <col min="7166" max="7166" width="13.7109375" customWidth="1"/>
    <col min="7167" max="7167" width="18.42578125" customWidth="1"/>
    <col min="7168" max="7168" width="16.5703125" customWidth="1"/>
    <col min="7169" max="7169" width="17.85546875" customWidth="1"/>
    <col min="7170" max="7170" width="17.7109375" customWidth="1"/>
    <col min="7422" max="7422" width="13.7109375" customWidth="1"/>
    <col min="7423" max="7423" width="18.42578125" customWidth="1"/>
    <col min="7424" max="7424" width="16.5703125" customWidth="1"/>
    <col min="7425" max="7425" width="17.85546875" customWidth="1"/>
    <col min="7426" max="7426" width="17.7109375" customWidth="1"/>
    <col min="7678" max="7678" width="13.7109375" customWidth="1"/>
    <col min="7679" max="7679" width="18.42578125" customWidth="1"/>
    <col min="7680" max="7680" width="16.5703125" customWidth="1"/>
    <col min="7681" max="7681" width="17.85546875" customWidth="1"/>
    <col min="7682" max="7682" width="17.7109375" customWidth="1"/>
    <col min="7934" max="7934" width="13.7109375" customWidth="1"/>
    <col min="7935" max="7935" width="18.42578125" customWidth="1"/>
    <col min="7936" max="7936" width="16.5703125" customWidth="1"/>
    <col min="7937" max="7937" width="17.85546875" customWidth="1"/>
    <col min="7938" max="7938" width="17.7109375" customWidth="1"/>
    <col min="8190" max="8190" width="13.7109375" customWidth="1"/>
    <col min="8191" max="8191" width="18.42578125" customWidth="1"/>
    <col min="8192" max="8192" width="16.5703125" customWidth="1"/>
    <col min="8193" max="8193" width="17.85546875" customWidth="1"/>
    <col min="8194" max="8194" width="17.7109375" customWidth="1"/>
    <col min="8446" max="8446" width="13.7109375" customWidth="1"/>
    <col min="8447" max="8447" width="18.42578125" customWidth="1"/>
    <col min="8448" max="8448" width="16.5703125" customWidth="1"/>
    <col min="8449" max="8449" width="17.85546875" customWidth="1"/>
    <col min="8450" max="8450" width="17.7109375" customWidth="1"/>
    <col min="8702" max="8702" width="13.7109375" customWidth="1"/>
    <col min="8703" max="8703" width="18.42578125" customWidth="1"/>
    <col min="8704" max="8704" width="16.5703125" customWidth="1"/>
    <col min="8705" max="8705" width="17.85546875" customWidth="1"/>
    <col min="8706" max="8706" width="17.7109375" customWidth="1"/>
    <col min="8958" max="8958" width="13.7109375" customWidth="1"/>
    <col min="8959" max="8959" width="18.42578125" customWidth="1"/>
    <col min="8960" max="8960" width="16.5703125" customWidth="1"/>
    <col min="8961" max="8961" width="17.85546875" customWidth="1"/>
    <col min="8962" max="8962" width="17.7109375" customWidth="1"/>
    <col min="9214" max="9214" width="13.7109375" customWidth="1"/>
    <col min="9215" max="9215" width="18.42578125" customWidth="1"/>
    <col min="9216" max="9216" width="16.5703125" customWidth="1"/>
    <col min="9217" max="9217" width="17.85546875" customWidth="1"/>
    <col min="9218" max="9218" width="17.7109375" customWidth="1"/>
    <col min="9470" max="9470" width="13.7109375" customWidth="1"/>
    <col min="9471" max="9471" width="18.42578125" customWidth="1"/>
    <col min="9472" max="9472" width="16.5703125" customWidth="1"/>
    <col min="9473" max="9473" width="17.85546875" customWidth="1"/>
    <col min="9474" max="9474" width="17.7109375" customWidth="1"/>
    <col min="9726" max="9726" width="13.7109375" customWidth="1"/>
    <col min="9727" max="9727" width="18.42578125" customWidth="1"/>
    <col min="9728" max="9728" width="16.5703125" customWidth="1"/>
    <col min="9729" max="9729" width="17.85546875" customWidth="1"/>
    <col min="9730" max="9730" width="17.7109375" customWidth="1"/>
    <col min="9982" max="9982" width="13.7109375" customWidth="1"/>
    <col min="9983" max="9983" width="18.42578125" customWidth="1"/>
    <col min="9984" max="9984" width="16.5703125" customWidth="1"/>
    <col min="9985" max="9985" width="17.85546875" customWidth="1"/>
    <col min="9986" max="9986" width="17.7109375" customWidth="1"/>
    <col min="10238" max="10238" width="13.7109375" customWidth="1"/>
    <col min="10239" max="10239" width="18.42578125" customWidth="1"/>
    <col min="10240" max="10240" width="16.5703125" customWidth="1"/>
    <col min="10241" max="10241" width="17.85546875" customWidth="1"/>
    <col min="10242" max="10242" width="17.7109375" customWidth="1"/>
    <col min="10494" max="10494" width="13.7109375" customWidth="1"/>
    <col min="10495" max="10495" width="18.42578125" customWidth="1"/>
    <col min="10496" max="10496" width="16.5703125" customWidth="1"/>
    <col min="10497" max="10497" width="17.85546875" customWidth="1"/>
    <col min="10498" max="10498" width="17.7109375" customWidth="1"/>
    <col min="10750" max="10750" width="13.7109375" customWidth="1"/>
    <col min="10751" max="10751" width="18.42578125" customWidth="1"/>
    <col min="10752" max="10752" width="16.5703125" customWidth="1"/>
    <col min="10753" max="10753" width="17.85546875" customWidth="1"/>
    <col min="10754" max="10754" width="17.7109375" customWidth="1"/>
    <col min="11006" max="11006" width="13.7109375" customWidth="1"/>
    <col min="11007" max="11007" width="18.42578125" customWidth="1"/>
    <col min="11008" max="11008" width="16.5703125" customWidth="1"/>
    <col min="11009" max="11009" width="17.85546875" customWidth="1"/>
    <col min="11010" max="11010" width="17.7109375" customWidth="1"/>
    <col min="11262" max="11262" width="13.7109375" customWidth="1"/>
    <col min="11263" max="11263" width="18.42578125" customWidth="1"/>
    <col min="11264" max="11264" width="16.5703125" customWidth="1"/>
    <col min="11265" max="11265" width="17.85546875" customWidth="1"/>
    <col min="11266" max="11266" width="17.7109375" customWidth="1"/>
    <col min="11518" max="11518" width="13.7109375" customWidth="1"/>
    <col min="11519" max="11519" width="18.42578125" customWidth="1"/>
    <col min="11520" max="11520" width="16.5703125" customWidth="1"/>
    <col min="11521" max="11521" width="17.85546875" customWidth="1"/>
    <col min="11522" max="11522" width="17.7109375" customWidth="1"/>
    <col min="11774" max="11774" width="13.7109375" customWidth="1"/>
    <col min="11775" max="11775" width="18.42578125" customWidth="1"/>
    <col min="11776" max="11776" width="16.5703125" customWidth="1"/>
    <col min="11777" max="11777" width="17.85546875" customWidth="1"/>
    <col min="11778" max="11778" width="17.7109375" customWidth="1"/>
    <col min="12030" max="12030" width="13.7109375" customWidth="1"/>
    <col min="12031" max="12031" width="18.42578125" customWidth="1"/>
    <col min="12032" max="12032" width="16.5703125" customWidth="1"/>
    <col min="12033" max="12033" width="17.85546875" customWidth="1"/>
    <col min="12034" max="12034" width="17.7109375" customWidth="1"/>
    <col min="12286" max="12286" width="13.7109375" customWidth="1"/>
    <col min="12287" max="12287" width="18.42578125" customWidth="1"/>
    <col min="12288" max="12288" width="16.5703125" customWidth="1"/>
    <col min="12289" max="12289" width="17.85546875" customWidth="1"/>
    <col min="12290" max="12290" width="17.7109375" customWidth="1"/>
    <col min="12542" max="12542" width="13.7109375" customWidth="1"/>
    <col min="12543" max="12543" width="18.42578125" customWidth="1"/>
    <col min="12544" max="12544" width="16.5703125" customWidth="1"/>
    <col min="12545" max="12545" width="17.85546875" customWidth="1"/>
    <col min="12546" max="12546" width="17.7109375" customWidth="1"/>
    <col min="12798" max="12798" width="13.7109375" customWidth="1"/>
    <col min="12799" max="12799" width="18.42578125" customWidth="1"/>
    <col min="12800" max="12800" width="16.5703125" customWidth="1"/>
    <col min="12801" max="12801" width="17.85546875" customWidth="1"/>
    <col min="12802" max="12802" width="17.7109375" customWidth="1"/>
    <col min="13054" max="13054" width="13.7109375" customWidth="1"/>
    <col min="13055" max="13055" width="18.42578125" customWidth="1"/>
    <col min="13056" max="13056" width="16.5703125" customWidth="1"/>
    <col min="13057" max="13057" width="17.85546875" customWidth="1"/>
    <col min="13058" max="13058" width="17.7109375" customWidth="1"/>
    <col min="13310" max="13310" width="13.7109375" customWidth="1"/>
    <col min="13311" max="13311" width="18.42578125" customWidth="1"/>
    <col min="13312" max="13312" width="16.5703125" customWidth="1"/>
    <col min="13313" max="13313" width="17.85546875" customWidth="1"/>
    <col min="13314" max="13314" width="17.7109375" customWidth="1"/>
    <col min="13566" max="13566" width="13.7109375" customWidth="1"/>
    <col min="13567" max="13567" width="18.42578125" customWidth="1"/>
    <col min="13568" max="13568" width="16.5703125" customWidth="1"/>
    <col min="13569" max="13569" width="17.85546875" customWidth="1"/>
    <col min="13570" max="13570" width="17.7109375" customWidth="1"/>
    <col min="13822" max="13822" width="13.7109375" customWidth="1"/>
    <col min="13823" max="13823" width="18.42578125" customWidth="1"/>
    <col min="13824" max="13824" width="16.5703125" customWidth="1"/>
    <col min="13825" max="13825" width="17.85546875" customWidth="1"/>
    <col min="13826" max="13826" width="17.7109375" customWidth="1"/>
    <col min="14078" max="14078" width="13.7109375" customWidth="1"/>
    <col min="14079" max="14079" width="18.42578125" customWidth="1"/>
    <col min="14080" max="14080" width="16.5703125" customWidth="1"/>
    <col min="14081" max="14081" width="17.85546875" customWidth="1"/>
    <col min="14082" max="14082" width="17.7109375" customWidth="1"/>
    <col min="14334" max="14334" width="13.7109375" customWidth="1"/>
    <col min="14335" max="14335" width="18.42578125" customWidth="1"/>
    <col min="14336" max="14336" width="16.5703125" customWidth="1"/>
    <col min="14337" max="14337" width="17.85546875" customWidth="1"/>
    <col min="14338" max="14338" width="17.7109375" customWidth="1"/>
    <col min="14590" max="14590" width="13.7109375" customWidth="1"/>
    <col min="14591" max="14591" width="18.42578125" customWidth="1"/>
    <col min="14592" max="14592" width="16.5703125" customWidth="1"/>
    <col min="14593" max="14593" width="17.85546875" customWidth="1"/>
    <col min="14594" max="14594" width="17.7109375" customWidth="1"/>
    <col min="14846" max="14846" width="13.7109375" customWidth="1"/>
    <col min="14847" max="14847" width="18.42578125" customWidth="1"/>
    <col min="14848" max="14848" width="16.5703125" customWidth="1"/>
    <col min="14849" max="14849" width="17.85546875" customWidth="1"/>
    <col min="14850" max="14850" width="17.7109375" customWidth="1"/>
    <col min="15102" max="15102" width="13.7109375" customWidth="1"/>
    <col min="15103" max="15103" width="18.42578125" customWidth="1"/>
    <col min="15104" max="15104" width="16.5703125" customWidth="1"/>
    <col min="15105" max="15105" width="17.85546875" customWidth="1"/>
    <col min="15106" max="15106" width="17.7109375" customWidth="1"/>
    <col min="15358" max="15358" width="13.7109375" customWidth="1"/>
    <col min="15359" max="15359" width="18.42578125" customWidth="1"/>
    <col min="15360" max="15360" width="16.5703125" customWidth="1"/>
    <col min="15361" max="15361" width="17.85546875" customWidth="1"/>
    <col min="15362" max="15362" width="17.7109375" customWidth="1"/>
    <col min="15614" max="15614" width="13.7109375" customWidth="1"/>
    <col min="15615" max="15615" width="18.42578125" customWidth="1"/>
    <col min="15616" max="15616" width="16.5703125" customWidth="1"/>
    <col min="15617" max="15617" width="17.85546875" customWidth="1"/>
    <col min="15618" max="15618" width="17.7109375" customWidth="1"/>
    <col min="15870" max="15870" width="13.7109375" customWidth="1"/>
    <col min="15871" max="15871" width="18.42578125" customWidth="1"/>
    <col min="15872" max="15872" width="16.5703125" customWidth="1"/>
    <col min="15873" max="15873" width="17.85546875" customWidth="1"/>
    <col min="15874" max="15874" width="17.7109375" customWidth="1"/>
    <col min="16126" max="16126" width="13.7109375" customWidth="1"/>
    <col min="16127" max="16127" width="18.42578125" customWidth="1"/>
    <col min="16128" max="16128" width="16.5703125" customWidth="1"/>
    <col min="16129" max="16129" width="17.85546875" customWidth="1"/>
    <col min="16130" max="16130" width="17.7109375" customWidth="1"/>
  </cols>
  <sheetData>
    <row r="1" spans="1:5" ht="15" customHeight="1" x14ac:dyDescent="0.25">
      <c r="A1" s="128" t="s">
        <v>169</v>
      </c>
      <c r="B1" s="129"/>
      <c r="C1" s="129"/>
      <c r="D1" s="129"/>
      <c r="E1" s="130"/>
    </row>
    <row r="2" spans="1:5" ht="15.75" x14ac:dyDescent="0.25">
      <c r="A2" s="5"/>
      <c r="B2" s="49" t="s">
        <v>170</v>
      </c>
      <c r="C2" s="49" t="s">
        <v>171</v>
      </c>
      <c r="D2" s="5"/>
      <c r="E2" s="5"/>
    </row>
    <row r="3" spans="1:5" ht="15.75" x14ac:dyDescent="0.25">
      <c r="A3" s="10" t="s">
        <v>172</v>
      </c>
      <c r="B3" s="10" t="s">
        <v>0</v>
      </c>
      <c r="C3" s="10" t="s">
        <v>1</v>
      </c>
      <c r="D3" s="10" t="s">
        <v>2</v>
      </c>
      <c r="E3" s="10" t="s">
        <v>173</v>
      </c>
    </row>
    <row r="4" spans="1:5" ht="15.75" x14ac:dyDescent="0.25">
      <c r="A4" s="46">
        <v>370</v>
      </c>
      <c r="B4" s="39" t="s">
        <v>174</v>
      </c>
      <c r="C4" s="39" t="s">
        <v>175</v>
      </c>
      <c r="D4" s="28" t="s">
        <v>176</v>
      </c>
      <c r="E4" s="43" t="s">
        <v>177</v>
      </c>
    </row>
    <row r="5" spans="1:5" ht="15.75" x14ac:dyDescent="0.25">
      <c r="A5" s="26">
        <v>1040</v>
      </c>
      <c r="B5" s="39" t="s">
        <v>178</v>
      </c>
      <c r="C5" s="26" t="s">
        <v>179</v>
      </c>
      <c r="D5" s="27" t="s">
        <v>180</v>
      </c>
      <c r="E5" s="43" t="s">
        <v>181</v>
      </c>
    </row>
    <row r="6" spans="1:5" ht="15.75" x14ac:dyDescent="0.25">
      <c r="A6" s="26">
        <v>1050</v>
      </c>
      <c r="B6" s="26" t="s">
        <v>182</v>
      </c>
      <c r="C6" s="26" t="s">
        <v>183</v>
      </c>
      <c r="D6" s="26" t="s">
        <v>184</v>
      </c>
      <c r="E6" s="43" t="s">
        <v>185</v>
      </c>
    </row>
    <row r="7" spans="1:5" ht="15.75" x14ac:dyDescent="0.25">
      <c r="A7" s="26">
        <v>1060</v>
      </c>
      <c r="B7" s="26" t="s">
        <v>186</v>
      </c>
      <c r="C7" s="26" t="s">
        <v>187</v>
      </c>
      <c r="D7" s="26" t="s">
        <v>188</v>
      </c>
      <c r="E7" s="43" t="s">
        <v>189</v>
      </c>
    </row>
    <row r="8" spans="1:5" ht="15.75" x14ac:dyDescent="0.25">
      <c r="A8" s="26">
        <v>1070</v>
      </c>
      <c r="B8" s="26" t="s">
        <v>190</v>
      </c>
      <c r="C8" s="26" t="s">
        <v>191</v>
      </c>
      <c r="D8" s="26" t="s">
        <v>192</v>
      </c>
      <c r="E8" s="43" t="s">
        <v>193</v>
      </c>
    </row>
    <row r="9" spans="1:5" ht="15.75" x14ac:dyDescent="0.25">
      <c r="A9" s="26">
        <v>1080</v>
      </c>
      <c r="B9" s="39" t="s">
        <v>194</v>
      </c>
      <c r="C9" s="39" t="s">
        <v>195</v>
      </c>
      <c r="D9" s="28" t="s">
        <v>196</v>
      </c>
      <c r="E9" s="47" t="s">
        <v>197</v>
      </c>
    </row>
    <row r="10" spans="1:5" ht="15.75" x14ac:dyDescent="0.25">
      <c r="A10" s="26">
        <v>1090</v>
      </c>
      <c r="B10" s="26" t="s">
        <v>198</v>
      </c>
      <c r="C10" s="26" t="s">
        <v>199</v>
      </c>
      <c r="D10" s="26" t="s">
        <v>200</v>
      </c>
      <c r="E10" s="43" t="s">
        <v>201</v>
      </c>
    </row>
    <row r="11" spans="1:5" ht="15.75" x14ac:dyDescent="0.25">
      <c r="A11" s="26">
        <v>1100</v>
      </c>
      <c r="B11" s="26" t="s">
        <v>202</v>
      </c>
      <c r="C11" s="26" t="s">
        <v>203</v>
      </c>
      <c r="D11" s="26" t="s">
        <v>204</v>
      </c>
      <c r="E11" s="43" t="s">
        <v>205</v>
      </c>
    </row>
    <row r="12" spans="1:5" ht="15.75" x14ac:dyDescent="0.25">
      <c r="A12" s="26">
        <v>1110</v>
      </c>
      <c r="B12" s="26" t="s">
        <v>206</v>
      </c>
      <c r="C12" s="26" t="s">
        <v>207</v>
      </c>
      <c r="D12" s="26" t="s">
        <v>208</v>
      </c>
      <c r="E12" s="43" t="s">
        <v>209</v>
      </c>
    </row>
    <row r="13" spans="1:5" ht="15.75" x14ac:dyDescent="0.25">
      <c r="A13" s="26">
        <v>1120</v>
      </c>
      <c r="B13" s="26" t="s">
        <v>210</v>
      </c>
      <c r="C13" s="46" t="s">
        <v>211</v>
      </c>
      <c r="D13" s="26" t="s">
        <v>212</v>
      </c>
      <c r="E13" s="43"/>
    </row>
    <row r="14" spans="1:5" ht="15.75" x14ac:dyDescent="0.25">
      <c r="A14" s="26">
        <v>1130</v>
      </c>
      <c r="B14" s="26" t="s">
        <v>213</v>
      </c>
      <c r="C14" s="26" t="s">
        <v>214</v>
      </c>
      <c r="D14" s="28" t="s">
        <v>215</v>
      </c>
      <c r="E14" s="47" t="s">
        <v>216</v>
      </c>
    </row>
    <row r="15" spans="1:5" ht="15.75" x14ac:dyDescent="0.25">
      <c r="A15" s="26">
        <v>1140</v>
      </c>
      <c r="B15" s="26" t="s">
        <v>217</v>
      </c>
      <c r="C15" s="26" t="s">
        <v>218</v>
      </c>
      <c r="D15" s="26" t="s">
        <v>219</v>
      </c>
      <c r="E15" s="43" t="s">
        <v>220</v>
      </c>
    </row>
    <row r="16" spans="1:5" ht="15.75" x14ac:dyDescent="0.25">
      <c r="A16" s="26">
        <v>1150</v>
      </c>
      <c r="B16" s="26" t="s">
        <v>221</v>
      </c>
      <c r="C16" s="26" t="s">
        <v>222</v>
      </c>
      <c r="D16" s="26" t="s">
        <v>223</v>
      </c>
      <c r="E16" s="43" t="s">
        <v>224</v>
      </c>
    </row>
    <row r="17" spans="1:5" ht="15.75" x14ac:dyDescent="0.25">
      <c r="A17" s="26">
        <v>1160</v>
      </c>
      <c r="B17" s="26" t="s">
        <v>225</v>
      </c>
      <c r="C17" s="26" t="s">
        <v>226</v>
      </c>
      <c r="D17" s="26" t="s">
        <v>227</v>
      </c>
      <c r="E17" s="43" t="s">
        <v>228</v>
      </c>
    </row>
    <row r="18" spans="1:5" ht="15.75" x14ac:dyDescent="0.25">
      <c r="A18" s="26">
        <v>1170</v>
      </c>
      <c r="B18" s="26" t="s">
        <v>229</v>
      </c>
      <c r="C18" s="26" t="s">
        <v>230</v>
      </c>
      <c r="D18" s="26" t="s">
        <v>231</v>
      </c>
      <c r="E18" s="43" t="s">
        <v>232</v>
      </c>
    </row>
    <row r="19" spans="1:5" ht="15.75" x14ac:dyDescent="0.25">
      <c r="A19" s="39">
        <v>1180</v>
      </c>
      <c r="B19" s="39" t="s">
        <v>233</v>
      </c>
      <c r="C19" s="39" t="s">
        <v>234</v>
      </c>
      <c r="D19" s="39" t="s">
        <v>235</v>
      </c>
      <c r="E19" s="43" t="s">
        <v>236</v>
      </c>
    </row>
    <row r="20" spans="1:5" ht="15.75" x14ac:dyDescent="0.25">
      <c r="A20" s="26">
        <v>1190</v>
      </c>
      <c r="B20" s="26" t="s">
        <v>237</v>
      </c>
      <c r="C20" s="26" t="s">
        <v>238</v>
      </c>
      <c r="D20" s="26" t="s">
        <v>239</v>
      </c>
      <c r="E20" s="43" t="s">
        <v>240</v>
      </c>
    </row>
    <row r="21" spans="1:5" ht="15.75" x14ac:dyDescent="0.25">
      <c r="A21" s="26">
        <v>1200</v>
      </c>
      <c r="B21" s="26" t="s">
        <v>241</v>
      </c>
      <c r="C21" s="26" t="s">
        <v>242</v>
      </c>
      <c r="D21" s="26" t="s">
        <v>243</v>
      </c>
      <c r="E21" s="43" t="s">
        <v>244</v>
      </c>
    </row>
    <row r="22" spans="1:5" ht="15.75" x14ac:dyDescent="0.25">
      <c r="A22" s="26">
        <v>1210</v>
      </c>
      <c r="B22" s="26" t="s">
        <v>245</v>
      </c>
      <c r="C22" s="28" t="s">
        <v>246</v>
      </c>
      <c r="D22" s="26" t="s">
        <v>247</v>
      </c>
      <c r="E22" s="43" t="s">
        <v>248</v>
      </c>
    </row>
    <row r="23" spans="1:5" ht="15.75" x14ac:dyDescent="0.25">
      <c r="A23" s="26">
        <v>1220</v>
      </c>
      <c r="B23" s="26" t="s">
        <v>249</v>
      </c>
      <c r="C23" s="26" t="s">
        <v>250</v>
      </c>
      <c r="D23" s="26" t="s">
        <v>251</v>
      </c>
      <c r="E23" s="43" t="s">
        <v>252</v>
      </c>
    </row>
    <row r="24" spans="1:5" ht="15.75" x14ac:dyDescent="0.25">
      <c r="A24" s="26">
        <v>1230</v>
      </c>
      <c r="B24" s="26" t="s">
        <v>253</v>
      </c>
      <c r="C24" s="26" t="s">
        <v>254</v>
      </c>
      <c r="D24" s="26" t="s">
        <v>255</v>
      </c>
      <c r="E24" s="43" t="s">
        <v>256</v>
      </c>
    </row>
    <row r="25" spans="1:5" ht="15.75" x14ac:dyDescent="0.25">
      <c r="A25" s="26">
        <v>1240</v>
      </c>
      <c r="B25" s="26" t="s">
        <v>257</v>
      </c>
      <c r="C25" s="26" t="s">
        <v>258</v>
      </c>
      <c r="D25" s="26" t="s">
        <v>259</v>
      </c>
      <c r="E25" s="43" t="s">
        <v>260</v>
      </c>
    </row>
    <row r="26" spans="1:5" ht="15.75" x14ac:dyDescent="0.25">
      <c r="A26" s="26">
        <v>1250</v>
      </c>
      <c r="B26" s="26" t="s">
        <v>261</v>
      </c>
      <c r="C26" s="26" t="s">
        <v>262</v>
      </c>
      <c r="D26" s="26" t="s">
        <v>263</v>
      </c>
      <c r="E26" s="43" t="s">
        <v>264</v>
      </c>
    </row>
    <row r="27" spans="1:5" ht="15.75" x14ac:dyDescent="0.25">
      <c r="A27" s="26">
        <v>1260</v>
      </c>
      <c r="B27" s="26" t="s">
        <v>265</v>
      </c>
      <c r="C27" s="26" t="s">
        <v>266</v>
      </c>
      <c r="D27" s="26" t="s">
        <v>263</v>
      </c>
      <c r="E27" s="43" t="s">
        <v>267</v>
      </c>
    </row>
    <row r="28" spans="1:5" ht="15.75" x14ac:dyDescent="0.25">
      <c r="A28" s="26">
        <v>1270</v>
      </c>
      <c r="B28" s="26" t="s">
        <v>268</v>
      </c>
      <c r="C28" s="26" t="s">
        <v>269</v>
      </c>
      <c r="D28" s="26" t="s">
        <v>270</v>
      </c>
      <c r="E28" s="43" t="s">
        <v>271</v>
      </c>
    </row>
    <row r="29" spans="1:5" ht="15.75" x14ac:dyDescent="0.25">
      <c r="A29" s="28">
        <v>480</v>
      </c>
      <c r="B29" s="28" t="s">
        <v>272</v>
      </c>
      <c r="C29" s="28" t="s">
        <v>273</v>
      </c>
      <c r="D29" s="26" t="s">
        <v>274</v>
      </c>
      <c r="E29" s="43" t="s">
        <v>275</v>
      </c>
    </row>
    <row r="30" spans="1:5" ht="15.75" x14ac:dyDescent="0.25">
      <c r="A30" s="28">
        <v>500</v>
      </c>
      <c r="B30" s="39" t="s">
        <v>276</v>
      </c>
      <c r="C30" s="28" t="s">
        <v>277</v>
      </c>
      <c r="D30" s="26" t="s">
        <v>278</v>
      </c>
      <c r="E30" s="43" t="s">
        <v>279</v>
      </c>
    </row>
    <row r="31" spans="1:5" ht="15.75" x14ac:dyDescent="0.25">
      <c r="A31" s="28">
        <v>940</v>
      </c>
      <c r="B31" s="26"/>
      <c r="C31" s="28" t="s">
        <v>280</v>
      </c>
      <c r="D31" s="26"/>
      <c r="E31" s="43"/>
    </row>
    <row r="32" spans="1:5" ht="15.75" x14ac:dyDescent="0.25">
      <c r="A32" s="28">
        <v>950</v>
      </c>
      <c r="B32" s="26" t="s">
        <v>281</v>
      </c>
      <c r="C32" s="28" t="s">
        <v>282</v>
      </c>
      <c r="D32" s="26" t="s">
        <v>283</v>
      </c>
      <c r="E32" s="43" t="s">
        <v>284</v>
      </c>
    </row>
    <row r="33" spans="1:5" ht="15.75" x14ac:dyDescent="0.25">
      <c r="A33" s="46">
        <v>960</v>
      </c>
      <c r="B33" s="46"/>
      <c r="C33" s="46" t="s">
        <v>285</v>
      </c>
      <c r="D33" s="26"/>
      <c r="E33" s="43"/>
    </row>
    <row r="34" spans="1:5" ht="15.75" x14ac:dyDescent="0.25">
      <c r="A34" s="46">
        <v>970</v>
      </c>
      <c r="B34" s="39"/>
      <c r="C34" s="39" t="s">
        <v>286</v>
      </c>
      <c r="D34" s="26"/>
      <c r="E34" s="43"/>
    </row>
    <row r="35" spans="1:5" ht="15.75" x14ac:dyDescent="0.25">
      <c r="A35" s="46">
        <v>990</v>
      </c>
      <c r="B35" s="39"/>
      <c r="C35" s="46" t="s">
        <v>287</v>
      </c>
      <c r="D35" s="46"/>
      <c r="E35" s="47"/>
    </row>
    <row r="36" spans="1:5" ht="15.75" x14ac:dyDescent="0.25">
      <c r="A36" s="46">
        <v>750</v>
      </c>
      <c r="B36" s="26" t="s">
        <v>288</v>
      </c>
      <c r="C36" s="39" t="s">
        <v>289</v>
      </c>
      <c r="D36" s="28" t="s">
        <v>290</v>
      </c>
      <c r="E36" s="47" t="s">
        <v>291</v>
      </c>
    </row>
    <row r="37" spans="1:5" ht="15.75" x14ac:dyDescent="0.25">
      <c r="A37" s="46">
        <v>1010</v>
      </c>
      <c r="B37" s="39"/>
      <c r="C37" s="39" t="s">
        <v>292</v>
      </c>
      <c r="D37" s="26"/>
      <c r="E37" s="43"/>
    </row>
    <row r="38" spans="1:5" ht="15.75" x14ac:dyDescent="0.25">
      <c r="A38" s="39">
        <v>1020</v>
      </c>
      <c r="B38" s="26"/>
      <c r="C38" s="46" t="s">
        <v>293</v>
      </c>
      <c r="D38" s="26"/>
      <c r="E38" s="43"/>
    </row>
    <row r="39" spans="1:5" ht="15.75" x14ac:dyDescent="0.25">
      <c r="A39" s="39"/>
      <c r="B39" s="39"/>
      <c r="C39" s="26"/>
      <c r="D39" s="26"/>
      <c r="E39" s="43"/>
    </row>
    <row r="40" spans="1:5" x14ac:dyDescent="0.25">
      <c r="A40" s="5"/>
      <c r="B40" s="5"/>
      <c r="C40" s="5"/>
      <c r="D40" s="5"/>
      <c r="E40" s="52"/>
    </row>
    <row r="41" spans="1:5" ht="15.75" x14ac:dyDescent="0.25">
      <c r="A41" s="26"/>
      <c r="B41" s="26" t="s">
        <v>294</v>
      </c>
      <c r="C41" s="26"/>
      <c r="D41" s="26"/>
      <c r="E41" s="43" t="s">
        <v>295</v>
      </c>
    </row>
    <row r="42" spans="1:5" ht="15.75" x14ac:dyDescent="0.25">
      <c r="A42" s="26"/>
      <c r="B42" s="26" t="s">
        <v>296</v>
      </c>
      <c r="C42" s="26"/>
      <c r="D42" s="26"/>
      <c r="E42" s="53" t="s">
        <v>297</v>
      </c>
    </row>
    <row r="43" spans="1:5" x14ac:dyDescent="0.25">
      <c r="A43" s="5"/>
      <c r="B43" s="5"/>
      <c r="C43" s="5"/>
      <c r="D43" s="5"/>
      <c r="E43" s="5"/>
    </row>
    <row r="44" spans="1:5" ht="15.75" x14ac:dyDescent="0.25">
      <c r="A44" s="48" t="s">
        <v>298</v>
      </c>
      <c r="B44" s="26" t="s">
        <v>299</v>
      </c>
      <c r="C44" s="26" t="s">
        <v>203</v>
      </c>
      <c r="D44" s="26" t="s">
        <v>300</v>
      </c>
      <c r="E44" s="53" t="s">
        <v>301</v>
      </c>
    </row>
  </sheetData>
  <autoFilter ref="A2:E2" xr:uid="{00000000-0009-0000-0000-000001000000}">
    <sortState xmlns:xlrd2="http://schemas.microsoft.com/office/spreadsheetml/2017/richdata2" ref="A3:E32">
      <sortCondition ref="B2"/>
    </sortState>
  </autoFilter>
  <sortState xmlns:xlrd2="http://schemas.microsoft.com/office/spreadsheetml/2017/richdata2" ref="A3:E38">
    <sortCondition ref="B3"/>
  </sortState>
  <mergeCells count="1">
    <mergeCell ref="A1:E1"/>
  </mergeCells>
  <pageMargins left="0.78740157499999996" right="0.78740157499999996" top="0.984251969" bottom="0.984251969" header="0.49212598499999999" footer="0.49212598499999999"/>
  <pageSetup paperSize="9" scale="8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B1:F27"/>
  <sheetViews>
    <sheetView workbookViewId="0">
      <selection activeCell="B9" sqref="B9"/>
    </sheetView>
  </sheetViews>
  <sheetFormatPr defaultRowHeight="15" x14ac:dyDescent="0.25"/>
  <cols>
    <col min="1" max="1" width="2.5703125" customWidth="1"/>
    <col min="2" max="2" width="14.28515625" bestFit="1" customWidth="1"/>
    <col min="3" max="3" width="9.7109375" bestFit="1" customWidth="1"/>
    <col min="4" max="4" width="18.28515625" bestFit="1" customWidth="1"/>
    <col min="5" max="5" width="16.7109375" customWidth="1"/>
  </cols>
  <sheetData>
    <row r="1" spans="2:6" ht="15.75" thickBot="1" x14ac:dyDescent="0.3"/>
    <row r="2" spans="2:6" x14ac:dyDescent="0.25">
      <c r="B2" s="17" t="s">
        <v>302</v>
      </c>
      <c r="C2" s="18" t="s">
        <v>303</v>
      </c>
      <c r="D2" s="18" t="s">
        <v>304</v>
      </c>
      <c r="E2" s="19" t="s">
        <v>305</v>
      </c>
    </row>
    <row r="3" spans="2:6" x14ac:dyDescent="0.25">
      <c r="B3" s="20" t="s">
        <v>306</v>
      </c>
      <c r="C3" s="5"/>
      <c r="D3" s="16" t="s">
        <v>307</v>
      </c>
      <c r="E3" s="21" t="s">
        <v>308</v>
      </c>
    </row>
    <row r="4" spans="2:6" x14ac:dyDescent="0.25">
      <c r="B4" s="20" t="s">
        <v>309</v>
      </c>
      <c r="C4" s="5"/>
      <c r="D4" s="16" t="s">
        <v>307</v>
      </c>
      <c r="E4" s="21" t="s">
        <v>310</v>
      </c>
    </row>
    <row r="5" spans="2:6" x14ac:dyDescent="0.25">
      <c r="B5" s="20" t="s">
        <v>206</v>
      </c>
      <c r="C5" s="5" t="s">
        <v>311</v>
      </c>
      <c r="D5" s="16" t="s">
        <v>307</v>
      </c>
      <c r="E5" s="21" t="s">
        <v>312</v>
      </c>
    </row>
    <row r="6" spans="2:6" x14ac:dyDescent="0.25">
      <c r="B6" s="20" t="s">
        <v>313</v>
      </c>
      <c r="C6" s="5" t="s">
        <v>314</v>
      </c>
      <c r="D6" s="16" t="s">
        <v>307</v>
      </c>
      <c r="E6" s="21" t="s">
        <v>315</v>
      </c>
    </row>
    <row r="7" spans="2:6" x14ac:dyDescent="0.25">
      <c r="B7" s="20" t="s">
        <v>316</v>
      </c>
      <c r="C7" s="5" t="s">
        <v>317</v>
      </c>
      <c r="D7" s="16" t="s">
        <v>307</v>
      </c>
      <c r="E7" s="21" t="s">
        <v>318</v>
      </c>
    </row>
    <row r="8" spans="2:6" x14ac:dyDescent="0.25">
      <c r="B8" s="20" t="s">
        <v>319</v>
      </c>
      <c r="C8" s="5" t="s">
        <v>320</v>
      </c>
      <c r="D8" s="16" t="s">
        <v>307</v>
      </c>
      <c r="E8" s="21" t="s">
        <v>321</v>
      </c>
    </row>
    <row r="9" spans="2:6" x14ac:dyDescent="0.25">
      <c r="B9" s="20" t="s">
        <v>322</v>
      </c>
      <c r="C9" s="5" t="s">
        <v>323</v>
      </c>
      <c r="D9" s="16" t="s">
        <v>324</v>
      </c>
      <c r="E9" s="21" t="s">
        <v>325</v>
      </c>
    </row>
    <row r="10" spans="2:6" x14ac:dyDescent="0.25">
      <c r="B10" s="20" t="s">
        <v>326</v>
      </c>
      <c r="C10" s="5" t="s">
        <v>323</v>
      </c>
      <c r="D10" s="16" t="s">
        <v>324</v>
      </c>
      <c r="E10" s="21" t="s">
        <v>327</v>
      </c>
      <c r="F10" t="s">
        <v>328</v>
      </c>
    </row>
    <row r="11" spans="2:6" x14ac:dyDescent="0.25">
      <c r="B11" s="20" t="s">
        <v>329</v>
      </c>
      <c r="C11" s="5" t="s">
        <v>330</v>
      </c>
      <c r="D11" s="16" t="s">
        <v>331</v>
      </c>
      <c r="E11" s="21" t="s">
        <v>61</v>
      </c>
    </row>
    <row r="12" spans="2:6" x14ac:dyDescent="0.25">
      <c r="B12" s="20" t="s">
        <v>332</v>
      </c>
      <c r="C12" s="5" t="s">
        <v>333</v>
      </c>
      <c r="D12" s="16" t="s">
        <v>324</v>
      </c>
      <c r="E12" s="21" t="s">
        <v>334</v>
      </c>
    </row>
    <row r="13" spans="2:6" x14ac:dyDescent="0.25">
      <c r="B13" s="20" t="s">
        <v>335</v>
      </c>
      <c r="C13" s="5" t="s">
        <v>336</v>
      </c>
      <c r="D13" s="16" t="s">
        <v>337</v>
      </c>
      <c r="E13" s="21" t="s">
        <v>338</v>
      </c>
    </row>
    <row r="14" spans="2:6" x14ac:dyDescent="0.25">
      <c r="B14" s="20" t="s">
        <v>339</v>
      </c>
      <c r="C14" s="5" t="s">
        <v>340</v>
      </c>
      <c r="D14" s="16" t="s">
        <v>337</v>
      </c>
      <c r="E14" s="21" t="s">
        <v>341</v>
      </c>
    </row>
    <row r="15" spans="2:6" x14ac:dyDescent="0.25">
      <c r="B15" s="20" t="s">
        <v>342</v>
      </c>
      <c r="C15" s="16" t="s">
        <v>343</v>
      </c>
      <c r="D15" s="16" t="s">
        <v>337</v>
      </c>
      <c r="E15" s="21" t="s">
        <v>344</v>
      </c>
    </row>
    <row r="16" spans="2:6" x14ac:dyDescent="0.25">
      <c r="B16" s="20" t="s">
        <v>345</v>
      </c>
      <c r="C16" s="16"/>
      <c r="D16" s="16" t="s">
        <v>337</v>
      </c>
      <c r="E16" s="21" t="s">
        <v>346</v>
      </c>
    </row>
    <row r="17" spans="2:6" x14ac:dyDescent="0.25">
      <c r="B17" s="20" t="s">
        <v>347</v>
      </c>
      <c r="C17" s="16"/>
      <c r="D17" s="16" t="s">
        <v>337</v>
      </c>
      <c r="E17" s="21" t="s">
        <v>348</v>
      </c>
    </row>
    <row r="18" spans="2:6" x14ac:dyDescent="0.25">
      <c r="B18" s="20" t="s">
        <v>349</v>
      </c>
      <c r="C18" s="16" t="s">
        <v>350</v>
      </c>
      <c r="D18" s="16" t="s">
        <v>337</v>
      </c>
      <c r="E18" s="21" t="s">
        <v>351</v>
      </c>
    </row>
    <row r="19" spans="2:6" x14ac:dyDescent="0.25">
      <c r="B19" s="20" t="s">
        <v>352</v>
      </c>
      <c r="C19" s="16"/>
      <c r="D19" s="16" t="s">
        <v>337</v>
      </c>
      <c r="E19" s="21" t="s">
        <v>353</v>
      </c>
    </row>
    <row r="20" spans="2:6" x14ac:dyDescent="0.25">
      <c r="B20" s="20" t="s">
        <v>354</v>
      </c>
      <c r="C20" s="5" t="s">
        <v>355</v>
      </c>
      <c r="D20" s="16" t="s">
        <v>356</v>
      </c>
      <c r="E20" s="21" t="s">
        <v>357</v>
      </c>
      <c r="F20" t="s">
        <v>358</v>
      </c>
    </row>
    <row r="21" spans="2:6" x14ac:dyDescent="0.25">
      <c r="B21" s="20" t="s">
        <v>359</v>
      </c>
      <c r="C21" s="5" t="s">
        <v>360</v>
      </c>
      <c r="D21" s="16" t="s">
        <v>356</v>
      </c>
      <c r="E21" s="21" t="s">
        <v>361</v>
      </c>
    </row>
    <row r="22" spans="2:6" x14ac:dyDescent="0.25">
      <c r="B22" s="32" t="s">
        <v>362</v>
      </c>
      <c r="C22" s="5" t="s">
        <v>363</v>
      </c>
      <c r="D22" s="34" t="s">
        <v>364</v>
      </c>
      <c r="E22" s="35" t="s">
        <v>365</v>
      </c>
    </row>
    <row r="23" spans="2:6" x14ac:dyDescent="0.25">
      <c r="B23" s="20" t="s">
        <v>313</v>
      </c>
      <c r="C23" s="33" t="s">
        <v>366</v>
      </c>
      <c r="D23" s="34" t="s">
        <v>364</v>
      </c>
      <c r="E23" s="21" t="s">
        <v>367</v>
      </c>
    </row>
    <row r="24" spans="2:6" x14ac:dyDescent="0.25">
      <c r="B24" s="32" t="s">
        <v>368</v>
      </c>
      <c r="C24" s="33" t="s">
        <v>369</v>
      </c>
      <c r="D24" s="34" t="s">
        <v>364</v>
      </c>
      <c r="E24" s="35" t="s">
        <v>370</v>
      </c>
    </row>
    <row r="25" spans="2:6" x14ac:dyDescent="0.25">
      <c r="B25" s="32" t="s">
        <v>371</v>
      </c>
      <c r="C25" s="33" t="s">
        <v>372</v>
      </c>
      <c r="D25" s="34" t="s">
        <v>364</v>
      </c>
      <c r="E25" s="35" t="s">
        <v>373</v>
      </c>
    </row>
    <row r="26" spans="2:6" x14ac:dyDescent="0.25">
      <c r="B26" s="32" t="s">
        <v>374</v>
      </c>
      <c r="C26" s="33" t="s">
        <v>375</v>
      </c>
      <c r="D26" s="34" t="s">
        <v>364</v>
      </c>
      <c r="E26" s="35" t="s">
        <v>376</v>
      </c>
    </row>
    <row r="27" spans="2:6" ht="15.75" thickBot="1" x14ac:dyDescent="0.3">
      <c r="B27" s="22" t="s">
        <v>377</v>
      </c>
      <c r="C27" s="23" t="s">
        <v>378</v>
      </c>
      <c r="D27" s="24" t="s">
        <v>379</v>
      </c>
      <c r="E27" s="25" t="s">
        <v>380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9BD7-E0A4-4E93-80B7-FD4E35F4470E}">
  <dimension ref="D1:E38"/>
  <sheetViews>
    <sheetView tabSelected="1" workbookViewId="0">
      <selection activeCell="L4" sqref="L4"/>
    </sheetView>
  </sheetViews>
  <sheetFormatPr defaultRowHeight="15" x14ac:dyDescent="0.25"/>
  <cols>
    <col min="4" max="4" width="36.140625" bestFit="1" customWidth="1"/>
    <col min="5" max="5" width="13.42578125" customWidth="1"/>
  </cols>
  <sheetData>
    <row r="1" spans="4:5" x14ac:dyDescent="0.25">
      <c r="D1" t="s">
        <v>971</v>
      </c>
      <c r="E1" t="s">
        <v>972</v>
      </c>
    </row>
    <row r="2" spans="4:5" x14ac:dyDescent="0.25">
      <c r="D2" t="s">
        <v>973</v>
      </c>
      <c r="E2">
        <v>16026340</v>
      </c>
    </row>
    <row r="3" spans="4:5" x14ac:dyDescent="0.25">
      <c r="D3" t="s">
        <v>974</v>
      </c>
      <c r="E3">
        <v>16026340</v>
      </c>
    </row>
    <row r="4" spans="4:5" x14ac:dyDescent="0.25">
      <c r="D4" t="s">
        <v>975</v>
      </c>
      <c r="E4">
        <v>16026340</v>
      </c>
    </row>
    <row r="5" spans="4:5" x14ac:dyDescent="0.25">
      <c r="D5" t="s">
        <v>862</v>
      </c>
      <c r="E5">
        <v>30390150</v>
      </c>
    </row>
    <row r="6" spans="4:5" x14ac:dyDescent="0.25">
      <c r="D6" t="s">
        <v>976</v>
      </c>
      <c r="E6">
        <v>37530000</v>
      </c>
    </row>
    <row r="7" spans="4:5" x14ac:dyDescent="0.25">
      <c r="D7" t="s">
        <v>977</v>
      </c>
      <c r="E7">
        <v>37530000</v>
      </c>
    </row>
    <row r="8" spans="4:5" x14ac:dyDescent="0.25">
      <c r="D8" t="s">
        <v>978</v>
      </c>
      <c r="E8">
        <v>37545000</v>
      </c>
    </row>
    <row r="9" spans="4:5" x14ac:dyDescent="0.25">
      <c r="D9" t="s">
        <v>979</v>
      </c>
      <c r="E9">
        <v>37993000</v>
      </c>
    </row>
    <row r="10" spans="4:5" x14ac:dyDescent="0.25">
      <c r="D10" t="s">
        <v>980</v>
      </c>
      <c r="E10">
        <v>35530000</v>
      </c>
    </row>
    <row r="11" spans="4:5" x14ac:dyDescent="0.25">
      <c r="D11" t="s">
        <v>902</v>
      </c>
      <c r="E11">
        <v>44245000</v>
      </c>
    </row>
    <row r="12" spans="4:5" x14ac:dyDescent="0.25">
      <c r="D12" t="s">
        <v>981</v>
      </c>
      <c r="E12">
        <v>32044350</v>
      </c>
    </row>
    <row r="13" spans="4:5" x14ac:dyDescent="0.25">
      <c r="D13" t="s">
        <v>982</v>
      </c>
      <c r="E13">
        <v>37655000</v>
      </c>
    </row>
    <row r="14" spans="4:5" x14ac:dyDescent="0.25">
      <c r="D14" t="s">
        <v>983</v>
      </c>
      <c r="E14">
        <v>37655000</v>
      </c>
    </row>
    <row r="15" spans="4:5" x14ac:dyDescent="0.25">
      <c r="D15" t="s">
        <v>984</v>
      </c>
      <c r="E15">
        <v>15155244</v>
      </c>
    </row>
    <row r="16" spans="4:5" x14ac:dyDescent="0.25">
      <c r="D16" t="s">
        <v>985</v>
      </c>
      <c r="E16">
        <v>35590000</v>
      </c>
    </row>
    <row r="17" spans="4:5" x14ac:dyDescent="0.25">
      <c r="D17" t="s">
        <v>986</v>
      </c>
      <c r="E17">
        <v>12610556</v>
      </c>
    </row>
    <row r="18" spans="4:5" x14ac:dyDescent="0.25">
      <c r="D18" t="s">
        <v>987</v>
      </c>
      <c r="E18">
        <v>15133272</v>
      </c>
    </row>
    <row r="19" spans="4:5" x14ac:dyDescent="0.25">
      <c r="D19" t="s">
        <v>988</v>
      </c>
      <c r="E19">
        <v>15130666</v>
      </c>
    </row>
    <row r="20" spans="4:5" x14ac:dyDescent="0.25">
      <c r="D20" t="s">
        <v>989</v>
      </c>
      <c r="E20">
        <v>15130666</v>
      </c>
    </row>
    <row r="21" spans="4:5" x14ac:dyDescent="0.25">
      <c r="D21" t="s">
        <v>990</v>
      </c>
      <c r="E21">
        <v>13800458</v>
      </c>
    </row>
    <row r="22" spans="4:5" x14ac:dyDescent="0.25">
      <c r="D22" t="s">
        <v>991</v>
      </c>
      <c r="E22">
        <v>37902418</v>
      </c>
    </row>
    <row r="23" spans="4:5" x14ac:dyDescent="0.25">
      <c r="D23" t="s">
        <v>992</v>
      </c>
      <c r="E23">
        <v>13660124</v>
      </c>
    </row>
    <row r="24" spans="4:5" x14ac:dyDescent="0.25">
      <c r="D24" t="s">
        <v>993</v>
      </c>
      <c r="E24">
        <v>36510000</v>
      </c>
    </row>
    <row r="25" spans="4:5" x14ac:dyDescent="0.25">
      <c r="D25" t="s">
        <v>994</v>
      </c>
      <c r="E25">
        <v>36510000</v>
      </c>
    </row>
    <row r="26" spans="4:5" x14ac:dyDescent="0.25">
      <c r="D26" t="s">
        <v>860</v>
      </c>
      <c r="E26">
        <v>36510000</v>
      </c>
    </row>
    <row r="27" spans="4:5" x14ac:dyDescent="0.25">
      <c r="D27" t="s">
        <v>995</v>
      </c>
      <c r="E27">
        <v>36510000</v>
      </c>
    </row>
    <row r="28" spans="4:5" x14ac:dyDescent="0.25">
      <c r="D28" t="s">
        <v>996</v>
      </c>
      <c r="E28">
        <v>36510000</v>
      </c>
    </row>
    <row r="29" spans="4:5" x14ac:dyDescent="0.25">
      <c r="D29" t="s">
        <v>997</v>
      </c>
      <c r="E29">
        <v>15035460</v>
      </c>
    </row>
    <row r="30" spans="4:5" x14ac:dyDescent="0.25">
      <c r="D30" t="s">
        <v>998</v>
      </c>
      <c r="E30">
        <v>79613001</v>
      </c>
    </row>
    <row r="31" spans="4:5" x14ac:dyDescent="0.25">
      <c r="D31" t="s">
        <v>999</v>
      </c>
      <c r="E31">
        <v>36506001</v>
      </c>
    </row>
    <row r="32" spans="4:5" x14ac:dyDescent="0.25">
      <c r="D32" t="s">
        <v>1000</v>
      </c>
      <c r="E32">
        <v>38402328</v>
      </c>
    </row>
    <row r="33" spans="4:5" x14ac:dyDescent="0.25">
      <c r="D33" t="s">
        <v>1001</v>
      </c>
      <c r="E33">
        <v>37066440</v>
      </c>
    </row>
    <row r="34" spans="4:5" x14ac:dyDescent="0.25">
      <c r="D34" t="s">
        <v>861</v>
      </c>
      <c r="E34">
        <v>36520000</v>
      </c>
    </row>
    <row r="35" spans="4:5" x14ac:dyDescent="0.25">
      <c r="D35" t="s">
        <v>1002</v>
      </c>
      <c r="E35">
        <v>14405106</v>
      </c>
    </row>
    <row r="36" spans="4:5" x14ac:dyDescent="0.25">
      <c r="D36" t="s">
        <v>1003</v>
      </c>
      <c r="E36">
        <v>35519000</v>
      </c>
    </row>
    <row r="37" spans="4:5" x14ac:dyDescent="0.25">
      <c r="D37" t="s">
        <v>1004</v>
      </c>
      <c r="E37">
        <v>38525000</v>
      </c>
    </row>
    <row r="38" spans="4:5" x14ac:dyDescent="0.25">
      <c r="D38" t="s">
        <v>1005</v>
      </c>
      <c r="E38">
        <v>29161389</v>
      </c>
    </row>
  </sheetData>
  <conditionalFormatting sqref="E1:E1048576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Planilha10"/>
  <dimension ref="B1:N286"/>
  <sheetViews>
    <sheetView topLeftCell="A41" workbookViewId="0">
      <selection activeCell="H42" sqref="H42"/>
    </sheetView>
  </sheetViews>
  <sheetFormatPr defaultRowHeight="15" x14ac:dyDescent="0.25"/>
  <cols>
    <col min="2" max="2" width="42.28515625" customWidth="1"/>
    <col min="3" max="3" width="19.140625" style="36" customWidth="1"/>
    <col min="4" max="4" width="16" bestFit="1" customWidth="1"/>
    <col min="5" max="5" width="16.42578125" customWidth="1"/>
    <col min="6" max="6" width="9.7109375" customWidth="1"/>
    <col min="7" max="7" width="15.7109375" customWidth="1"/>
    <col min="8" max="8" width="12.140625" customWidth="1"/>
    <col min="9" max="9" width="15.5703125" customWidth="1"/>
    <col min="10" max="10" width="12.28515625" customWidth="1"/>
    <col min="11" max="11" width="12.85546875" bestFit="1" customWidth="1"/>
    <col min="12" max="12" width="15.5703125" customWidth="1"/>
    <col min="13" max="17" width="9.140625" customWidth="1"/>
  </cols>
  <sheetData>
    <row r="1" spans="2:13" x14ac:dyDescent="0.25">
      <c r="B1" s="37" t="s">
        <v>302</v>
      </c>
      <c r="C1" s="37" t="s">
        <v>304</v>
      </c>
      <c r="D1" s="37" t="s">
        <v>305</v>
      </c>
    </row>
    <row r="2" spans="2:13" ht="15.75" x14ac:dyDescent="0.25">
      <c r="B2" t="s">
        <v>382</v>
      </c>
      <c r="C2" s="36" t="s">
        <v>383</v>
      </c>
      <c r="D2" t="s">
        <v>4</v>
      </c>
      <c r="F2" s="5"/>
      <c r="G2" s="49" t="s">
        <v>170</v>
      </c>
      <c r="H2" s="49" t="s">
        <v>171</v>
      </c>
      <c r="I2" s="5"/>
      <c r="J2" s="5"/>
      <c r="K2" s="5"/>
      <c r="L2" s="39"/>
    </row>
    <row r="3" spans="2:13" ht="15.75" x14ac:dyDescent="0.25">
      <c r="B3" t="s">
        <v>384</v>
      </c>
      <c r="C3" s="36" t="s">
        <v>383</v>
      </c>
      <c r="D3" t="s">
        <v>385</v>
      </c>
      <c r="F3" s="5"/>
      <c r="G3" s="49"/>
      <c r="H3" s="49"/>
      <c r="I3" s="5"/>
      <c r="J3" s="5"/>
      <c r="K3" s="5"/>
      <c r="L3" s="39"/>
    </row>
    <row r="4" spans="2:13" ht="15.75" x14ac:dyDescent="0.25">
      <c r="B4" t="s">
        <v>386</v>
      </c>
      <c r="C4" s="36" t="s">
        <v>383</v>
      </c>
      <c r="D4" t="s">
        <v>387</v>
      </c>
      <c r="F4" s="5"/>
      <c r="G4" s="49"/>
      <c r="H4" s="49"/>
      <c r="I4" s="5"/>
      <c r="J4" s="5"/>
      <c r="K4" s="5"/>
      <c r="L4" s="39"/>
    </row>
    <row r="5" spans="2:13" ht="15.75" x14ac:dyDescent="0.25">
      <c r="B5" t="s">
        <v>388</v>
      </c>
      <c r="C5" s="36" t="s">
        <v>383</v>
      </c>
      <c r="D5" t="s">
        <v>389</v>
      </c>
      <c r="F5" s="10" t="s">
        <v>172</v>
      </c>
      <c r="G5" s="10" t="s">
        <v>0</v>
      </c>
      <c r="H5" s="10" t="s">
        <v>1</v>
      </c>
      <c r="I5" s="10" t="s">
        <v>2</v>
      </c>
      <c r="J5" s="10" t="s">
        <v>173</v>
      </c>
      <c r="K5" s="10"/>
      <c r="L5" s="43" t="s">
        <v>390</v>
      </c>
    </row>
    <row r="6" spans="2:13" ht="15.75" x14ac:dyDescent="0.25">
      <c r="B6" t="s">
        <v>391</v>
      </c>
      <c r="C6" s="36" t="s">
        <v>383</v>
      </c>
      <c r="D6" t="s">
        <v>392</v>
      </c>
      <c r="F6" s="10"/>
      <c r="G6" s="10"/>
      <c r="H6" s="10"/>
      <c r="I6" s="10"/>
      <c r="J6" s="10"/>
      <c r="K6" s="10"/>
      <c r="L6" s="43"/>
    </row>
    <row r="7" spans="2:13" ht="15.75" x14ac:dyDescent="0.25">
      <c r="B7" t="s">
        <v>393</v>
      </c>
      <c r="C7" s="36" t="s">
        <v>383</v>
      </c>
      <c r="D7" t="s">
        <v>394</v>
      </c>
      <c r="F7" s="46">
        <v>370</v>
      </c>
      <c r="G7" s="39" t="s">
        <v>174</v>
      </c>
      <c r="H7" s="39" t="s">
        <v>175</v>
      </c>
      <c r="I7" s="28" t="s">
        <v>176</v>
      </c>
      <c r="J7" s="43" t="s">
        <v>177</v>
      </c>
      <c r="K7" s="39"/>
      <c r="L7" s="50" t="s">
        <v>395</v>
      </c>
      <c r="M7" s="40"/>
    </row>
    <row r="8" spans="2:13" ht="15.75" x14ac:dyDescent="0.25">
      <c r="B8" t="s">
        <v>396</v>
      </c>
      <c r="C8" s="36" t="s">
        <v>383</v>
      </c>
      <c r="D8" t="s">
        <v>397</v>
      </c>
      <c r="F8" s="26">
        <v>1040</v>
      </c>
      <c r="G8" s="39" t="s">
        <v>178</v>
      </c>
      <c r="H8" s="26" t="s">
        <v>179</v>
      </c>
      <c r="I8" s="27" t="s">
        <v>180</v>
      </c>
      <c r="J8" s="43" t="s">
        <v>181</v>
      </c>
      <c r="K8" s="39"/>
      <c r="L8" s="51" t="s">
        <v>398</v>
      </c>
      <c r="M8" s="41" t="s">
        <v>399</v>
      </c>
    </row>
    <row r="9" spans="2:13" ht="15.75" x14ac:dyDescent="0.25">
      <c r="B9" t="s">
        <v>400</v>
      </c>
      <c r="C9" s="36" t="s">
        <v>383</v>
      </c>
      <c r="D9" t="s">
        <v>401</v>
      </c>
      <c r="F9" s="26">
        <v>1060</v>
      </c>
      <c r="G9" s="26" t="s">
        <v>186</v>
      </c>
      <c r="H9" s="26" t="s">
        <v>187</v>
      </c>
      <c r="I9" s="26" t="s">
        <v>188</v>
      </c>
      <c r="J9" s="43" t="s">
        <v>189</v>
      </c>
      <c r="K9" s="39"/>
      <c r="L9" s="50" t="s">
        <v>402</v>
      </c>
      <c r="M9" s="41" t="s">
        <v>403</v>
      </c>
    </row>
    <row r="10" spans="2:13" ht="15.75" x14ac:dyDescent="0.25">
      <c r="B10" t="s">
        <v>404</v>
      </c>
      <c r="C10" s="36" t="s">
        <v>383</v>
      </c>
      <c r="D10" t="s">
        <v>16</v>
      </c>
      <c r="F10" s="26">
        <v>1070</v>
      </c>
      <c r="G10" s="26" t="s">
        <v>190</v>
      </c>
      <c r="H10" s="26" t="s">
        <v>191</v>
      </c>
      <c r="I10" s="26" t="s">
        <v>192</v>
      </c>
      <c r="J10" s="43" t="s">
        <v>193</v>
      </c>
      <c r="K10" s="46"/>
      <c r="L10" s="45" t="s">
        <v>405</v>
      </c>
      <c r="M10" s="41" t="s">
        <v>406</v>
      </c>
    </row>
    <row r="11" spans="2:13" ht="15.75" x14ac:dyDescent="0.25">
      <c r="B11" t="s">
        <v>407</v>
      </c>
      <c r="C11" s="36" t="s">
        <v>383</v>
      </c>
      <c r="D11" t="s">
        <v>394</v>
      </c>
      <c r="F11" s="26">
        <v>1080</v>
      </c>
      <c r="G11" s="26" t="s">
        <v>202</v>
      </c>
      <c r="H11" s="39" t="s">
        <v>195</v>
      </c>
      <c r="I11" s="26" t="s">
        <v>204</v>
      </c>
      <c r="J11" s="43" t="s">
        <v>205</v>
      </c>
      <c r="K11" s="39"/>
      <c r="L11" s="50" t="s">
        <v>408</v>
      </c>
      <c r="M11" s="44" t="s">
        <v>409</v>
      </c>
    </row>
    <row r="12" spans="2:13" ht="15.75" x14ac:dyDescent="0.25">
      <c r="B12" t="s">
        <v>410</v>
      </c>
      <c r="C12" s="36" t="s">
        <v>383</v>
      </c>
      <c r="D12" t="s">
        <v>18</v>
      </c>
      <c r="F12" s="26">
        <v>1090</v>
      </c>
      <c r="G12" s="26" t="s">
        <v>198</v>
      </c>
      <c r="H12" s="26" t="s">
        <v>199</v>
      </c>
      <c r="I12" s="26" t="s">
        <v>200</v>
      </c>
      <c r="J12" s="43" t="s">
        <v>201</v>
      </c>
      <c r="K12" s="39"/>
      <c r="L12" s="45" t="s">
        <v>411</v>
      </c>
      <c r="M12" s="41" t="s">
        <v>412</v>
      </c>
    </row>
    <row r="13" spans="2:13" ht="15.75" x14ac:dyDescent="0.25">
      <c r="B13" t="s">
        <v>413</v>
      </c>
      <c r="C13" s="36" t="s">
        <v>383</v>
      </c>
      <c r="D13" t="s">
        <v>414</v>
      </c>
      <c r="F13" s="26">
        <v>1100</v>
      </c>
      <c r="G13" s="26" t="s">
        <v>299</v>
      </c>
      <c r="H13" s="26" t="s">
        <v>203</v>
      </c>
      <c r="I13" s="26" t="s">
        <v>300</v>
      </c>
      <c r="J13" s="43" t="s">
        <v>301</v>
      </c>
      <c r="K13" s="39"/>
      <c r="L13" s="50" t="s">
        <v>415</v>
      </c>
      <c r="M13" s="44" t="s">
        <v>416</v>
      </c>
    </row>
    <row r="14" spans="2:13" ht="15.75" x14ac:dyDescent="0.25">
      <c r="B14" t="s">
        <v>417</v>
      </c>
      <c r="C14" s="36" t="s">
        <v>383</v>
      </c>
      <c r="D14" t="s">
        <v>418</v>
      </c>
      <c r="F14" s="26">
        <v>1110</v>
      </c>
      <c r="G14" s="26" t="s">
        <v>206</v>
      </c>
      <c r="H14" s="26" t="s">
        <v>207</v>
      </c>
      <c r="I14" s="26" t="s">
        <v>208</v>
      </c>
      <c r="J14" s="43" t="s">
        <v>209</v>
      </c>
      <c r="K14" s="39" t="s">
        <v>419</v>
      </c>
      <c r="L14" s="50" t="s">
        <v>420</v>
      </c>
      <c r="M14" s="41" t="s">
        <v>421</v>
      </c>
    </row>
    <row r="15" spans="2:13" ht="15.75" x14ac:dyDescent="0.25">
      <c r="B15" t="s">
        <v>422</v>
      </c>
      <c r="C15" s="36" t="s">
        <v>383</v>
      </c>
      <c r="D15" t="s">
        <v>423</v>
      </c>
      <c r="F15" s="26">
        <v>1120</v>
      </c>
      <c r="G15" s="26" t="s">
        <v>210</v>
      </c>
      <c r="H15" s="46" t="s">
        <v>211</v>
      </c>
      <c r="I15" s="26" t="s">
        <v>212</v>
      </c>
      <c r="J15" s="43"/>
      <c r="K15" s="39"/>
      <c r="L15" s="45" t="s">
        <v>424</v>
      </c>
      <c r="M15" s="41"/>
    </row>
    <row r="16" spans="2:13" ht="15.75" x14ac:dyDescent="0.25">
      <c r="B16" t="s">
        <v>425</v>
      </c>
      <c r="C16" s="36" t="s">
        <v>383</v>
      </c>
      <c r="D16" t="s">
        <v>27</v>
      </c>
      <c r="F16" s="26"/>
      <c r="G16" s="26"/>
      <c r="H16" s="46"/>
      <c r="I16" s="26"/>
      <c r="J16" s="43"/>
      <c r="K16" s="39"/>
      <c r="L16" s="45"/>
      <c r="M16" s="41"/>
    </row>
    <row r="17" spans="2:14" ht="15.75" x14ac:dyDescent="0.25">
      <c r="B17" t="s">
        <v>426</v>
      </c>
      <c r="C17" s="36" t="s">
        <v>383</v>
      </c>
      <c r="D17" t="s">
        <v>29</v>
      </c>
      <c r="F17" s="26">
        <v>1130</v>
      </c>
      <c r="G17" s="26" t="s">
        <v>213</v>
      </c>
      <c r="H17" s="26" t="s">
        <v>214</v>
      </c>
      <c r="I17" s="28" t="s">
        <v>215</v>
      </c>
      <c r="J17" s="47" t="s">
        <v>216</v>
      </c>
      <c r="K17" s="39"/>
      <c r="L17" s="50" t="s">
        <v>427</v>
      </c>
      <c r="M17" s="44"/>
    </row>
    <row r="18" spans="2:14" ht="15.75" x14ac:dyDescent="0.25">
      <c r="B18" t="s">
        <v>428</v>
      </c>
      <c r="C18" s="36" t="s">
        <v>383</v>
      </c>
      <c r="D18" t="s">
        <v>429</v>
      </c>
      <c r="F18" s="26">
        <v>1140</v>
      </c>
      <c r="G18" s="26" t="s">
        <v>217</v>
      </c>
      <c r="H18" s="26" t="s">
        <v>218</v>
      </c>
      <c r="I18" s="26" t="s">
        <v>219</v>
      </c>
      <c r="J18" s="43" t="s">
        <v>220</v>
      </c>
      <c r="K18" s="39"/>
      <c r="L18" s="50" t="s">
        <v>430</v>
      </c>
      <c r="M18" s="41"/>
    </row>
    <row r="19" spans="2:14" ht="15.75" x14ac:dyDescent="0.25">
      <c r="B19" t="s">
        <v>431</v>
      </c>
      <c r="C19" s="36" t="s">
        <v>383</v>
      </c>
      <c r="D19" t="s">
        <v>432</v>
      </c>
      <c r="F19" s="26">
        <v>1150</v>
      </c>
      <c r="G19" s="26" t="s">
        <v>221</v>
      </c>
      <c r="H19" s="26" t="s">
        <v>222</v>
      </c>
      <c r="I19" s="26" t="s">
        <v>223</v>
      </c>
      <c r="J19" s="43" t="s">
        <v>224</v>
      </c>
      <c r="K19" s="39"/>
      <c r="L19" s="50" t="s">
        <v>433</v>
      </c>
      <c r="M19" s="40"/>
    </row>
    <row r="20" spans="2:14" ht="15.75" x14ac:dyDescent="0.25">
      <c r="B20" t="s">
        <v>434</v>
      </c>
      <c r="C20" s="36" t="s">
        <v>383</v>
      </c>
      <c r="D20" t="s">
        <v>435</v>
      </c>
      <c r="F20" s="26">
        <v>1160</v>
      </c>
      <c r="G20" s="26" t="s">
        <v>225</v>
      </c>
      <c r="H20" s="26" t="s">
        <v>226</v>
      </c>
      <c r="I20" s="26" t="s">
        <v>227</v>
      </c>
      <c r="J20" s="43" t="s">
        <v>228</v>
      </c>
      <c r="K20" s="39"/>
      <c r="L20" s="50" t="s">
        <v>436</v>
      </c>
      <c r="M20" s="40"/>
      <c r="N20" s="40"/>
    </row>
    <row r="21" spans="2:14" ht="15.75" x14ac:dyDescent="0.25">
      <c r="B21" t="s">
        <v>437</v>
      </c>
      <c r="C21" s="36" t="s">
        <v>383</v>
      </c>
      <c r="D21" t="s">
        <v>438</v>
      </c>
      <c r="F21" s="26">
        <v>1170</v>
      </c>
      <c r="G21" s="26" t="s">
        <v>229</v>
      </c>
      <c r="H21" s="26" t="s">
        <v>230</v>
      </c>
      <c r="I21" s="26" t="s">
        <v>231</v>
      </c>
      <c r="J21" s="43" t="s">
        <v>232</v>
      </c>
      <c r="K21" s="39"/>
      <c r="L21" s="50" t="s">
        <v>439</v>
      </c>
      <c r="M21" s="40"/>
      <c r="N21" s="40"/>
    </row>
    <row r="22" spans="2:14" ht="15.75" x14ac:dyDescent="0.25">
      <c r="B22" t="s">
        <v>440</v>
      </c>
      <c r="C22" s="36" t="s">
        <v>383</v>
      </c>
      <c r="D22" t="s">
        <v>38</v>
      </c>
      <c r="F22" s="39">
        <v>1180</v>
      </c>
      <c r="G22" s="39" t="s">
        <v>233</v>
      </c>
      <c r="H22" s="39" t="s">
        <v>234</v>
      </c>
      <c r="I22" s="39" t="s">
        <v>235</v>
      </c>
      <c r="J22" s="43" t="s">
        <v>236</v>
      </c>
      <c r="K22" s="39"/>
      <c r="L22" s="50" t="s">
        <v>441</v>
      </c>
      <c r="M22" s="40"/>
      <c r="N22" s="40"/>
    </row>
    <row r="23" spans="2:14" ht="15.75" x14ac:dyDescent="0.25">
      <c r="B23" t="s">
        <v>442</v>
      </c>
      <c r="C23" s="36" t="s">
        <v>383</v>
      </c>
      <c r="D23" t="s">
        <v>443</v>
      </c>
      <c r="F23" s="39"/>
      <c r="G23" s="39"/>
      <c r="H23" s="39"/>
      <c r="I23" s="39"/>
      <c r="J23" s="43"/>
      <c r="K23" s="39"/>
      <c r="L23" s="50"/>
      <c r="M23" s="40"/>
      <c r="N23" s="40"/>
    </row>
    <row r="24" spans="2:14" ht="15.75" x14ac:dyDescent="0.25">
      <c r="B24" t="s">
        <v>444</v>
      </c>
      <c r="C24" s="36" t="s">
        <v>383</v>
      </c>
      <c r="D24" t="s">
        <v>445</v>
      </c>
      <c r="F24" s="39"/>
      <c r="G24" s="39"/>
      <c r="H24" s="39"/>
      <c r="I24" s="39"/>
      <c r="J24" s="43"/>
      <c r="K24" s="39"/>
      <c r="L24" s="50"/>
      <c r="M24" s="40"/>
      <c r="N24" s="40"/>
    </row>
    <row r="25" spans="2:14" ht="15.75" x14ac:dyDescent="0.25">
      <c r="B25" t="s">
        <v>446</v>
      </c>
      <c r="C25" s="36" t="s">
        <v>383</v>
      </c>
      <c r="D25" t="s">
        <v>46</v>
      </c>
      <c r="F25" s="26">
        <v>1190</v>
      </c>
      <c r="G25" s="26" t="s">
        <v>237</v>
      </c>
      <c r="H25" s="26" t="s">
        <v>238</v>
      </c>
      <c r="I25" s="26" t="s">
        <v>239</v>
      </c>
      <c r="J25" s="43" t="s">
        <v>240</v>
      </c>
      <c r="K25" s="39"/>
      <c r="L25" s="50" t="s">
        <v>447</v>
      </c>
      <c r="M25" s="40"/>
      <c r="N25" s="40"/>
    </row>
    <row r="26" spans="2:14" ht="15.75" x14ac:dyDescent="0.25">
      <c r="B26" t="s">
        <v>448</v>
      </c>
      <c r="C26" s="36" t="s">
        <v>383</v>
      </c>
      <c r="D26" t="s">
        <v>449</v>
      </c>
      <c r="F26" s="26">
        <v>1200</v>
      </c>
      <c r="G26" s="26" t="s">
        <v>241</v>
      </c>
      <c r="H26" s="26" t="s">
        <v>242</v>
      </c>
      <c r="I26" s="26" t="s">
        <v>243</v>
      </c>
      <c r="J26" s="43" t="s">
        <v>244</v>
      </c>
      <c r="K26" s="39"/>
      <c r="L26" s="50" t="s">
        <v>450</v>
      </c>
      <c r="M26" s="40"/>
      <c r="N26" s="40"/>
    </row>
    <row r="27" spans="2:14" ht="15.75" x14ac:dyDescent="0.25">
      <c r="B27" t="s">
        <v>451</v>
      </c>
      <c r="C27" s="36" t="s">
        <v>383</v>
      </c>
      <c r="D27" t="s">
        <v>452</v>
      </c>
      <c r="F27" s="26">
        <v>1210</v>
      </c>
      <c r="G27" s="26" t="s">
        <v>245</v>
      </c>
      <c r="H27" s="28" t="s">
        <v>246</v>
      </c>
      <c r="I27" s="26" t="s">
        <v>247</v>
      </c>
      <c r="J27" s="43" t="s">
        <v>248</v>
      </c>
      <c r="K27" s="39"/>
      <c r="L27" s="50" t="s">
        <v>453</v>
      </c>
      <c r="M27" s="40"/>
      <c r="N27" s="40"/>
    </row>
    <row r="28" spans="2:14" ht="15.75" x14ac:dyDescent="0.25">
      <c r="B28" t="s">
        <v>454</v>
      </c>
      <c r="C28" s="36" t="s">
        <v>383</v>
      </c>
      <c r="D28" t="s">
        <v>48</v>
      </c>
      <c r="F28" s="26">
        <v>1220</v>
      </c>
      <c r="G28" s="26" t="s">
        <v>249</v>
      </c>
      <c r="H28" s="26" t="s">
        <v>250</v>
      </c>
      <c r="I28" s="26" t="s">
        <v>251</v>
      </c>
      <c r="J28" s="43" t="s">
        <v>252</v>
      </c>
      <c r="K28" s="39"/>
      <c r="L28" s="50" t="s">
        <v>455</v>
      </c>
      <c r="M28" s="40"/>
      <c r="N28" s="40"/>
    </row>
    <row r="29" spans="2:14" ht="15.75" x14ac:dyDescent="0.25">
      <c r="B29" t="s">
        <v>456</v>
      </c>
      <c r="C29" s="36" t="s">
        <v>383</v>
      </c>
      <c r="D29" t="s">
        <v>51</v>
      </c>
      <c r="F29" s="26">
        <v>1230</v>
      </c>
      <c r="G29" s="26" t="s">
        <v>457</v>
      </c>
      <c r="H29" s="26" t="s">
        <v>254</v>
      </c>
      <c r="I29" s="26" t="s">
        <v>458</v>
      </c>
      <c r="J29" s="43" t="s">
        <v>459</v>
      </c>
      <c r="K29" s="39"/>
      <c r="L29" s="50" t="s">
        <v>460</v>
      </c>
      <c r="M29" s="42"/>
    </row>
    <row r="30" spans="2:14" ht="15.75" x14ac:dyDescent="0.25">
      <c r="B30" t="s">
        <v>461</v>
      </c>
      <c r="C30" s="36" t="s">
        <v>383</v>
      </c>
      <c r="D30" t="s">
        <v>53</v>
      </c>
      <c r="F30" s="26">
        <v>1240</v>
      </c>
      <c r="G30" s="26" t="s">
        <v>257</v>
      </c>
      <c r="H30" s="26" t="s">
        <v>258</v>
      </c>
      <c r="I30" s="26" t="s">
        <v>259</v>
      </c>
      <c r="J30" s="43" t="s">
        <v>260</v>
      </c>
      <c r="K30" s="39"/>
      <c r="L30" s="50" t="s">
        <v>462</v>
      </c>
      <c r="M30" s="40"/>
    </row>
    <row r="31" spans="2:14" ht="15.75" x14ac:dyDescent="0.25">
      <c r="B31" t="s">
        <v>463</v>
      </c>
      <c r="C31" s="36" t="s">
        <v>383</v>
      </c>
      <c r="D31" t="s">
        <v>56</v>
      </c>
      <c r="F31" s="26"/>
      <c r="G31" s="26"/>
      <c r="H31" s="26"/>
      <c r="I31" s="26"/>
      <c r="J31" s="43"/>
      <c r="K31" s="39"/>
      <c r="L31" s="50"/>
      <c r="M31" s="40"/>
    </row>
    <row r="32" spans="2:14" ht="15.75" x14ac:dyDescent="0.25">
      <c r="B32" t="s">
        <v>464</v>
      </c>
      <c r="C32" s="36" t="s">
        <v>383</v>
      </c>
      <c r="D32" t="s">
        <v>59</v>
      </c>
      <c r="F32" s="26"/>
      <c r="G32" s="26"/>
      <c r="H32" s="26"/>
      <c r="I32" s="26"/>
      <c r="J32" s="43"/>
      <c r="K32" s="39"/>
      <c r="L32" s="50"/>
      <c r="M32" s="40"/>
    </row>
    <row r="33" spans="2:14" ht="15.75" x14ac:dyDescent="0.25">
      <c r="B33" t="s">
        <v>465</v>
      </c>
      <c r="C33" s="36" t="s">
        <v>383</v>
      </c>
      <c r="D33" t="s">
        <v>466</v>
      </c>
      <c r="F33" s="26">
        <v>1250</v>
      </c>
      <c r="G33" s="26" t="s">
        <v>261</v>
      </c>
      <c r="H33" s="26" t="s">
        <v>262</v>
      </c>
      <c r="I33" s="26" t="s">
        <v>263</v>
      </c>
      <c r="J33" s="43" t="s">
        <v>264</v>
      </c>
      <c r="K33" s="46"/>
      <c r="L33" s="50" t="s">
        <v>467</v>
      </c>
      <c r="M33" s="40"/>
    </row>
    <row r="34" spans="2:14" ht="15.75" x14ac:dyDescent="0.25">
      <c r="B34" t="s">
        <v>468</v>
      </c>
      <c r="C34" s="36" t="s">
        <v>383</v>
      </c>
      <c r="D34" t="s">
        <v>469</v>
      </c>
      <c r="F34" s="26">
        <v>1260</v>
      </c>
      <c r="G34" s="26" t="s">
        <v>265</v>
      </c>
      <c r="H34" s="26" t="s">
        <v>266</v>
      </c>
      <c r="I34" s="26" t="s">
        <v>263</v>
      </c>
      <c r="J34" s="43" t="s">
        <v>267</v>
      </c>
      <c r="K34" s="39"/>
      <c r="L34" s="50" t="s">
        <v>470</v>
      </c>
      <c r="M34" s="40"/>
    </row>
    <row r="35" spans="2:14" ht="15.75" x14ac:dyDescent="0.25">
      <c r="B35" t="s">
        <v>471</v>
      </c>
      <c r="C35" s="36" t="s">
        <v>383</v>
      </c>
      <c r="D35" t="s">
        <v>472</v>
      </c>
      <c r="F35" s="26">
        <v>1270</v>
      </c>
      <c r="G35" s="26" t="s">
        <v>268</v>
      </c>
      <c r="H35" s="26" t="s">
        <v>269</v>
      </c>
      <c r="I35" s="26" t="s">
        <v>270</v>
      </c>
      <c r="J35" s="43" t="s">
        <v>271</v>
      </c>
      <c r="K35" s="39"/>
      <c r="L35" s="50" t="s">
        <v>473</v>
      </c>
    </row>
    <row r="36" spans="2:14" ht="15.75" x14ac:dyDescent="0.25">
      <c r="B36" t="s">
        <v>474</v>
      </c>
      <c r="C36" s="36" t="s">
        <v>383</v>
      </c>
      <c r="D36" t="s">
        <v>64</v>
      </c>
      <c r="F36" s="28">
        <v>480</v>
      </c>
      <c r="G36" s="28" t="s">
        <v>272</v>
      </c>
      <c r="H36" s="28" t="s">
        <v>273</v>
      </c>
      <c r="I36" s="26" t="s">
        <v>274</v>
      </c>
      <c r="J36" s="43" t="s">
        <v>275</v>
      </c>
      <c r="K36" s="39"/>
      <c r="L36" s="50"/>
    </row>
    <row r="37" spans="2:14" ht="15.75" x14ac:dyDescent="0.25">
      <c r="B37" t="s">
        <v>475</v>
      </c>
      <c r="C37" s="36" t="s">
        <v>383</v>
      </c>
      <c r="D37" t="s">
        <v>476</v>
      </c>
      <c r="F37" s="28">
        <v>500</v>
      </c>
      <c r="G37" s="26" t="s">
        <v>253</v>
      </c>
      <c r="H37" s="28" t="s">
        <v>277</v>
      </c>
      <c r="I37" s="26" t="s">
        <v>255</v>
      </c>
      <c r="J37" s="43" t="s">
        <v>256</v>
      </c>
      <c r="K37" s="39"/>
      <c r="L37" s="50"/>
    </row>
    <row r="38" spans="2:14" ht="15.75" x14ac:dyDescent="0.25">
      <c r="B38" t="s">
        <v>477</v>
      </c>
      <c r="C38" s="36" t="s">
        <v>383</v>
      </c>
      <c r="D38" t="s">
        <v>478</v>
      </c>
      <c r="F38" s="28"/>
      <c r="G38" s="26"/>
      <c r="H38" s="28"/>
      <c r="I38" s="26"/>
      <c r="J38" s="43"/>
      <c r="K38" s="39"/>
      <c r="L38" s="50"/>
    </row>
    <row r="39" spans="2:14" ht="15.75" x14ac:dyDescent="0.25">
      <c r="B39" t="s">
        <v>479</v>
      </c>
      <c r="C39" s="36" t="s">
        <v>480</v>
      </c>
      <c r="D39" t="s">
        <v>481</v>
      </c>
      <c r="F39" s="28">
        <v>940</v>
      </c>
      <c r="G39" s="26"/>
      <c r="H39" s="28" t="s">
        <v>280</v>
      </c>
      <c r="I39" s="26"/>
      <c r="J39" s="43"/>
      <c r="K39" s="39"/>
      <c r="L39" s="50"/>
    </row>
    <row r="40" spans="2:14" ht="15.75" x14ac:dyDescent="0.25">
      <c r="B40" t="s">
        <v>482</v>
      </c>
      <c r="C40" s="36" t="s">
        <v>383</v>
      </c>
      <c r="D40" t="s">
        <v>75</v>
      </c>
      <c r="F40" s="28"/>
      <c r="G40" s="26"/>
      <c r="H40" s="28"/>
      <c r="I40" s="26"/>
      <c r="J40" s="43"/>
      <c r="K40" s="39"/>
      <c r="L40" s="50"/>
    </row>
    <row r="41" spans="2:14" ht="15.75" x14ac:dyDescent="0.25">
      <c r="B41" t="s">
        <v>483</v>
      </c>
      <c r="C41" s="36" t="s">
        <v>383</v>
      </c>
      <c r="D41" t="s">
        <v>484</v>
      </c>
      <c r="F41" s="28"/>
      <c r="G41" s="26"/>
      <c r="H41" s="28"/>
      <c r="I41" s="26"/>
      <c r="J41" s="43"/>
      <c r="K41" s="39"/>
      <c r="L41" s="50"/>
    </row>
    <row r="42" spans="2:14" ht="15.75" x14ac:dyDescent="0.25">
      <c r="B42" t="s">
        <v>485</v>
      </c>
      <c r="C42" s="36" t="s">
        <v>383</v>
      </c>
      <c r="D42" t="s">
        <v>486</v>
      </c>
      <c r="F42" s="28">
        <v>950</v>
      </c>
      <c r="G42" s="26" t="s">
        <v>281</v>
      </c>
      <c r="H42" s="28" t="s">
        <v>282</v>
      </c>
      <c r="I42" s="26" t="s">
        <v>283</v>
      </c>
      <c r="J42" s="43" t="s">
        <v>284</v>
      </c>
      <c r="K42" s="39"/>
      <c r="L42" s="50"/>
    </row>
    <row r="43" spans="2:14" ht="15.75" x14ac:dyDescent="0.25">
      <c r="B43" t="s">
        <v>487</v>
      </c>
      <c r="C43" s="36" t="s">
        <v>383</v>
      </c>
      <c r="D43" t="s">
        <v>449</v>
      </c>
      <c r="F43" s="46">
        <v>960</v>
      </c>
      <c r="G43" s="46"/>
      <c r="H43" s="46" t="s">
        <v>285</v>
      </c>
      <c r="I43" s="26"/>
      <c r="J43" s="43"/>
      <c r="K43" s="39"/>
      <c r="L43" s="50"/>
      <c r="M43" s="42"/>
      <c r="N43" s="42"/>
    </row>
    <row r="44" spans="2:14" ht="15.75" x14ac:dyDescent="0.25">
      <c r="B44" t="s">
        <v>488</v>
      </c>
      <c r="C44" s="36" t="s">
        <v>383</v>
      </c>
      <c r="D44" t="s">
        <v>489</v>
      </c>
      <c r="F44" s="46">
        <v>970</v>
      </c>
      <c r="G44" s="39" t="s">
        <v>276</v>
      </c>
      <c r="H44" s="39" t="s">
        <v>286</v>
      </c>
      <c r="I44" s="26" t="s">
        <v>278</v>
      </c>
      <c r="J44" s="43" t="s">
        <v>279</v>
      </c>
      <c r="K44" s="39"/>
      <c r="L44" s="45"/>
    </row>
    <row r="45" spans="2:14" ht="15.75" x14ac:dyDescent="0.25">
      <c r="B45" t="s">
        <v>490</v>
      </c>
      <c r="C45" s="36" t="s">
        <v>383</v>
      </c>
      <c r="D45" t="s">
        <v>491</v>
      </c>
      <c r="F45" s="46">
        <v>990</v>
      </c>
      <c r="G45" s="39"/>
      <c r="H45" s="46" t="s">
        <v>287</v>
      </c>
      <c r="I45" s="46"/>
      <c r="J45" s="47"/>
      <c r="K45" s="39"/>
      <c r="L45" s="45"/>
    </row>
    <row r="46" spans="2:14" ht="15.75" x14ac:dyDescent="0.25">
      <c r="B46" t="s">
        <v>492</v>
      </c>
      <c r="C46" s="36" t="s">
        <v>383</v>
      </c>
      <c r="D46" t="s">
        <v>493</v>
      </c>
      <c r="F46" s="46">
        <v>750</v>
      </c>
      <c r="G46" s="26"/>
      <c r="H46" s="39" t="s">
        <v>289</v>
      </c>
      <c r="I46" s="28"/>
      <c r="J46" s="47"/>
      <c r="K46" s="46"/>
      <c r="L46" s="50"/>
    </row>
    <row r="47" spans="2:14" ht="15.75" x14ac:dyDescent="0.25">
      <c r="B47" t="s">
        <v>494</v>
      </c>
      <c r="C47" s="36" t="s">
        <v>383</v>
      </c>
      <c r="D47" t="s">
        <v>495</v>
      </c>
      <c r="F47" s="46">
        <v>1010</v>
      </c>
      <c r="G47" s="39"/>
      <c r="H47" s="39" t="s">
        <v>292</v>
      </c>
      <c r="I47" s="26"/>
      <c r="J47" s="43"/>
      <c r="K47" s="39"/>
      <c r="L47" s="50"/>
    </row>
    <row r="48" spans="2:14" ht="15.75" x14ac:dyDescent="0.25">
      <c r="B48" t="s">
        <v>496</v>
      </c>
      <c r="C48" s="36" t="s">
        <v>383</v>
      </c>
      <c r="D48" t="s">
        <v>166</v>
      </c>
      <c r="F48" s="39">
        <v>1020</v>
      </c>
      <c r="G48" s="26"/>
      <c r="H48" s="46" t="s">
        <v>293</v>
      </c>
      <c r="I48" s="26"/>
      <c r="J48" s="43"/>
      <c r="K48" s="39"/>
      <c r="L48" s="29"/>
    </row>
    <row r="49" spans="2:12" ht="15.75" x14ac:dyDescent="0.25">
      <c r="B49" t="s">
        <v>497</v>
      </c>
      <c r="C49" s="36" t="s">
        <v>383</v>
      </c>
      <c r="D49" t="s">
        <v>498</v>
      </c>
      <c r="F49" s="39"/>
      <c r="G49" s="39"/>
      <c r="H49" s="26"/>
      <c r="I49" s="26"/>
      <c r="J49" s="43"/>
      <c r="K49" s="5"/>
      <c r="L49" s="29"/>
    </row>
    <row r="50" spans="2:12" x14ac:dyDescent="0.25">
      <c r="B50" t="s">
        <v>499</v>
      </c>
      <c r="C50" s="36" t="s">
        <v>383</v>
      </c>
      <c r="D50" t="s">
        <v>86</v>
      </c>
      <c r="F50" s="5"/>
      <c r="G50" s="5"/>
      <c r="H50" s="5"/>
      <c r="I50" s="5"/>
      <c r="J50" s="52"/>
      <c r="K50" s="5"/>
      <c r="L50" s="29"/>
    </row>
    <row r="51" spans="2:12" ht="15.75" x14ac:dyDescent="0.25">
      <c r="B51" t="s">
        <v>500</v>
      </c>
      <c r="C51" s="36" t="s">
        <v>383</v>
      </c>
      <c r="D51" t="s">
        <v>501</v>
      </c>
      <c r="F51" s="26"/>
      <c r="G51" s="26" t="s">
        <v>294</v>
      </c>
      <c r="H51" s="26"/>
      <c r="I51" s="26"/>
      <c r="J51" s="43" t="s">
        <v>295</v>
      </c>
      <c r="K51" s="39"/>
      <c r="L51" s="29"/>
    </row>
    <row r="52" spans="2:12" ht="15.75" x14ac:dyDescent="0.25">
      <c r="B52" t="s">
        <v>502</v>
      </c>
      <c r="C52" s="36" t="s">
        <v>383</v>
      </c>
      <c r="D52" t="s">
        <v>89</v>
      </c>
      <c r="F52" s="26"/>
      <c r="G52" s="26" t="s">
        <v>296</v>
      </c>
      <c r="H52" s="26"/>
      <c r="I52" s="26"/>
      <c r="J52" s="43" t="s">
        <v>297</v>
      </c>
      <c r="K52" s="39"/>
      <c r="L52" s="29"/>
    </row>
    <row r="53" spans="2:12" ht="15.75" x14ac:dyDescent="0.25">
      <c r="B53" t="s">
        <v>503</v>
      </c>
      <c r="C53" s="36" t="s">
        <v>383</v>
      </c>
      <c r="D53" t="s">
        <v>92</v>
      </c>
      <c r="F53" s="5"/>
      <c r="G53" s="5"/>
      <c r="H53" s="5"/>
      <c r="I53" s="5"/>
      <c r="J53" s="5"/>
      <c r="K53" s="39"/>
      <c r="L53" s="29"/>
    </row>
    <row r="54" spans="2:12" ht="15.75" x14ac:dyDescent="0.25">
      <c r="B54" t="s">
        <v>504</v>
      </c>
      <c r="C54" s="36" t="s">
        <v>383</v>
      </c>
      <c r="D54" t="s">
        <v>505</v>
      </c>
      <c r="F54" s="5"/>
      <c r="G54" s="5"/>
      <c r="H54" s="5"/>
      <c r="I54" s="5"/>
      <c r="J54" s="5"/>
      <c r="K54" s="39"/>
      <c r="L54" s="29"/>
    </row>
    <row r="55" spans="2:12" ht="15.75" x14ac:dyDescent="0.25">
      <c r="B55" t="s">
        <v>506</v>
      </c>
      <c r="C55" s="36" t="s">
        <v>383</v>
      </c>
      <c r="D55" t="s">
        <v>94</v>
      </c>
      <c r="F55" s="48" t="s">
        <v>298</v>
      </c>
      <c r="G55" s="39" t="s">
        <v>194</v>
      </c>
      <c r="H55" s="39"/>
      <c r="I55" s="28" t="s">
        <v>196</v>
      </c>
      <c r="J55" s="47" t="s">
        <v>197</v>
      </c>
      <c r="K55" s="29"/>
      <c r="L55" s="29"/>
    </row>
    <row r="56" spans="2:12" x14ac:dyDescent="0.25">
      <c r="B56" t="s">
        <v>507</v>
      </c>
      <c r="C56" s="36" t="s">
        <v>383</v>
      </c>
      <c r="D56" t="s">
        <v>96</v>
      </c>
    </row>
    <row r="57" spans="2:12" x14ac:dyDescent="0.25">
      <c r="B57" t="s">
        <v>508</v>
      </c>
      <c r="C57" s="36" t="s">
        <v>383</v>
      </c>
      <c r="D57" t="s">
        <v>509</v>
      </c>
    </row>
    <row r="58" spans="2:12" x14ac:dyDescent="0.25">
      <c r="B58" t="s">
        <v>510</v>
      </c>
      <c r="C58" s="36" t="s">
        <v>383</v>
      </c>
      <c r="D58" t="s">
        <v>98</v>
      </c>
    </row>
    <row r="59" spans="2:12" x14ac:dyDescent="0.25">
      <c r="B59" t="s">
        <v>511</v>
      </c>
      <c r="C59" s="36" t="s">
        <v>383</v>
      </c>
      <c r="D59" t="s">
        <v>512</v>
      </c>
    </row>
    <row r="60" spans="2:12" x14ac:dyDescent="0.25">
      <c r="B60" t="s">
        <v>513</v>
      </c>
      <c r="C60" s="36" t="s">
        <v>383</v>
      </c>
      <c r="D60" t="s">
        <v>101</v>
      </c>
    </row>
    <row r="61" spans="2:12" x14ac:dyDescent="0.25">
      <c r="B61" t="s">
        <v>514</v>
      </c>
      <c r="C61" s="36" t="s">
        <v>383</v>
      </c>
      <c r="D61" t="s">
        <v>515</v>
      </c>
    </row>
    <row r="62" spans="2:12" x14ac:dyDescent="0.25">
      <c r="B62" t="s">
        <v>516</v>
      </c>
      <c r="C62" s="36" t="s">
        <v>383</v>
      </c>
      <c r="D62" t="s">
        <v>105</v>
      </c>
    </row>
    <row r="63" spans="2:12" x14ac:dyDescent="0.25">
      <c r="B63" t="s">
        <v>517</v>
      </c>
      <c r="C63" s="36" t="s">
        <v>383</v>
      </c>
      <c r="D63" t="s">
        <v>518</v>
      </c>
    </row>
    <row r="64" spans="2:12" x14ac:dyDescent="0.25">
      <c r="B64" t="s">
        <v>519</v>
      </c>
      <c r="C64" s="36" t="s">
        <v>383</v>
      </c>
      <c r="D64" t="s">
        <v>520</v>
      </c>
    </row>
    <row r="65" spans="2:4" x14ac:dyDescent="0.25">
      <c r="B65" t="s">
        <v>521</v>
      </c>
      <c r="C65" s="36" t="s">
        <v>383</v>
      </c>
      <c r="D65" t="s">
        <v>522</v>
      </c>
    </row>
    <row r="66" spans="2:4" x14ac:dyDescent="0.25">
      <c r="B66" t="s">
        <v>523</v>
      </c>
      <c r="C66" s="36" t="s">
        <v>383</v>
      </c>
      <c r="D66" t="s">
        <v>524</v>
      </c>
    </row>
    <row r="67" spans="2:4" x14ac:dyDescent="0.25">
      <c r="B67" t="s">
        <v>525</v>
      </c>
      <c r="C67" s="36" t="s">
        <v>383</v>
      </c>
      <c r="D67" t="s">
        <v>526</v>
      </c>
    </row>
    <row r="68" spans="2:4" x14ac:dyDescent="0.25">
      <c r="B68" t="s">
        <v>527</v>
      </c>
      <c r="C68" s="36" t="s">
        <v>383</v>
      </c>
      <c r="D68" t="s">
        <v>528</v>
      </c>
    </row>
    <row r="69" spans="2:4" x14ac:dyDescent="0.25">
      <c r="B69" t="s">
        <v>529</v>
      </c>
      <c r="C69" s="36" t="s">
        <v>383</v>
      </c>
      <c r="D69" t="s">
        <v>394</v>
      </c>
    </row>
    <row r="70" spans="2:4" x14ac:dyDescent="0.25">
      <c r="B70" t="s">
        <v>530</v>
      </c>
      <c r="C70" s="36" t="s">
        <v>383</v>
      </c>
      <c r="D70" t="s">
        <v>531</v>
      </c>
    </row>
    <row r="71" spans="2:4" x14ac:dyDescent="0.25">
      <c r="B71" t="s">
        <v>532</v>
      </c>
      <c r="C71" s="36" t="s">
        <v>383</v>
      </c>
      <c r="D71" t="s">
        <v>533</v>
      </c>
    </row>
    <row r="72" spans="2:4" x14ac:dyDescent="0.25">
      <c r="B72" t="s">
        <v>534</v>
      </c>
      <c r="C72" s="36" t="s">
        <v>383</v>
      </c>
      <c r="D72" t="s">
        <v>111</v>
      </c>
    </row>
    <row r="73" spans="2:4" x14ac:dyDescent="0.25">
      <c r="B73" t="s">
        <v>535</v>
      </c>
      <c r="C73" s="36" t="s">
        <v>383</v>
      </c>
      <c r="D73" t="s">
        <v>113</v>
      </c>
    </row>
    <row r="74" spans="2:4" x14ac:dyDescent="0.25">
      <c r="B74" t="s">
        <v>536</v>
      </c>
      <c r="C74" s="36" t="s">
        <v>383</v>
      </c>
      <c r="D74" t="s">
        <v>116</v>
      </c>
    </row>
    <row r="75" spans="2:4" x14ac:dyDescent="0.25">
      <c r="B75" t="s">
        <v>537</v>
      </c>
      <c r="C75" s="36" t="s">
        <v>383</v>
      </c>
      <c r="D75" t="s">
        <v>119</v>
      </c>
    </row>
    <row r="76" spans="2:4" x14ac:dyDescent="0.25">
      <c r="B76" t="s">
        <v>538</v>
      </c>
      <c r="C76" s="36" t="s">
        <v>383</v>
      </c>
      <c r="D76" t="s">
        <v>539</v>
      </c>
    </row>
    <row r="77" spans="2:4" x14ac:dyDescent="0.25">
      <c r="B77" t="s">
        <v>540</v>
      </c>
      <c r="C77" s="36" t="s">
        <v>383</v>
      </c>
      <c r="D77" t="s">
        <v>541</v>
      </c>
    </row>
    <row r="78" spans="2:4" x14ac:dyDescent="0.25">
      <c r="B78" t="s">
        <v>542</v>
      </c>
      <c r="C78" s="36" t="s">
        <v>383</v>
      </c>
      <c r="D78" t="s">
        <v>121</v>
      </c>
    </row>
    <row r="79" spans="2:4" x14ac:dyDescent="0.25">
      <c r="B79" t="s">
        <v>543</v>
      </c>
      <c r="C79" s="36" t="s">
        <v>383</v>
      </c>
      <c r="D79" t="s">
        <v>123</v>
      </c>
    </row>
    <row r="80" spans="2:4" x14ac:dyDescent="0.25">
      <c r="B80" t="s">
        <v>544</v>
      </c>
      <c r="C80" s="36" t="s">
        <v>383</v>
      </c>
      <c r="D80" t="s">
        <v>545</v>
      </c>
    </row>
    <row r="81" spans="2:4" x14ac:dyDescent="0.25">
      <c r="B81" t="s">
        <v>546</v>
      </c>
      <c r="C81" s="36" t="s">
        <v>383</v>
      </c>
      <c r="D81" t="s">
        <v>125</v>
      </c>
    </row>
    <row r="82" spans="2:4" x14ac:dyDescent="0.25">
      <c r="B82" t="s">
        <v>547</v>
      </c>
      <c r="C82" s="36" t="s">
        <v>383</v>
      </c>
      <c r="D82" t="s">
        <v>548</v>
      </c>
    </row>
    <row r="83" spans="2:4" x14ac:dyDescent="0.25">
      <c r="B83" t="s">
        <v>549</v>
      </c>
      <c r="C83" s="36" t="s">
        <v>383</v>
      </c>
      <c r="D83" t="s">
        <v>130</v>
      </c>
    </row>
    <row r="84" spans="2:4" x14ac:dyDescent="0.25">
      <c r="B84" t="s">
        <v>550</v>
      </c>
      <c r="C84" s="36" t="s">
        <v>383</v>
      </c>
      <c r="D84" t="s">
        <v>132</v>
      </c>
    </row>
    <row r="85" spans="2:4" x14ac:dyDescent="0.25">
      <c r="B85" t="s">
        <v>551</v>
      </c>
      <c r="C85" s="36" t="s">
        <v>383</v>
      </c>
      <c r="D85" t="s">
        <v>552</v>
      </c>
    </row>
    <row r="86" spans="2:4" x14ac:dyDescent="0.25">
      <c r="B86" t="s">
        <v>553</v>
      </c>
      <c r="C86" s="36" t="s">
        <v>383</v>
      </c>
      <c r="D86" t="s">
        <v>469</v>
      </c>
    </row>
    <row r="87" spans="2:4" x14ac:dyDescent="0.25">
      <c r="B87" t="s">
        <v>554</v>
      </c>
      <c r="C87" s="36" t="s">
        <v>383</v>
      </c>
      <c r="D87" t="s">
        <v>555</v>
      </c>
    </row>
    <row r="88" spans="2:4" x14ac:dyDescent="0.25">
      <c r="B88" t="s">
        <v>556</v>
      </c>
      <c r="C88" s="36" t="s">
        <v>383</v>
      </c>
      <c r="D88" t="s">
        <v>130</v>
      </c>
    </row>
    <row r="89" spans="2:4" x14ac:dyDescent="0.25">
      <c r="B89" t="s">
        <v>557</v>
      </c>
      <c r="C89" s="36" t="s">
        <v>383</v>
      </c>
      <c r="D89" t="s">
        <v>43</v>
      </c>
    </row>
    <row r="90" spans="2:4" x14ac:dyDescent="0.25">
      <c r="B90" t="s">
        <v>558</v>
      </c>
      <c r="C90" s="36" t="s">
        <v>559</v>
      </c>
      <c r="D90" t="s">
        <v>560</v>
      </c>
    </row>
    <row r="91" spans="2:4" x14ac:dyDescent="0.25">
      <c r="B91" t="s">
        <v>561</v>
      </c>
      <c r="C91" s="36" t="s">
        <v>383</v>
      </c>
      <c r="D91" t="s">
        <v>142</v>
      </c>
    </row>
    <row r="92" spans="2:4" x14ac:dyDescent="0.25">
      <c r="B92" t="s">
        <v>562</v>
      </c>
      <c r="C92" s="36" t="s">
        <v>383</v>
      </c>
      <c r="D92" t="s">
        <v>145</v>
      </c>
    </row>
    <row r="93" spans="2:4" x14ac:dyDescent="0.25">
      <c r="B93" t="s">
        <v>563</v>
      </c>
      <c r="C93" s="36" t="s">
        <v>383</v>
      </c>
      <c r="D93" t="s">
        <v>564</v>
      </c>
    </row>
    <row r="94" spans="2:4" x14ac:dyDescent="0.25">
      <c r="B94" t="s">
        <v>565</v>
      </c>
      <c r="C94" s="36" t="s">
        <v>383</v>
      </c>
      <c r="D94" t="s">
        <v>566</v>
      </c>
    </row>
    <row r="95" spans="2:4" x14ac:dyDescent="0.25">
      <c r="B95" t="s">
        <v>567</v>
      </c>
      <c r="C95" s="36" t="s">
        <v>383</v>
      </c>
      <c r="D95" t="s">
        <v>568</v>
      </c>
    </row>
    <row r="96" spans="2:4" x14ac:dyDescent="0.25">
      <c r="B96" t="s">
        <v>569</v>
      </c>
      <c r="C96" s="36" t="s">
        <v>383</v>
      </c>
      <c r="D96" t="s">
        <v>327</v>
      </c>
    </row>
    <row r="97" spans="2:4" x14ac:dyDescent="0.25">
      <c r="B97" t="s">
        <v>570</v>
      </c>
      <c r="C97" s="36" t="s">
        <v>383</v>
      </c>
      <c r="D97" t="s">
        <v>571</v>
      </c>
    </row>
    <row r="98" spans="2:4" x14ac:dyDescent="0.25">
      <c r="B98" t="s">
        <v>572</v>
      </c>
      <c r="C98" s="36" t="s">
        <v>383</v>
      </c>
      <c r="D98" t="s">
        <v>148</v>
      </c>
    </row>
    <row r="99" spans="2:4" x14ac:dyDescent="0.25">
      <c r="B99" t="s">
        <v>573</v>
      </c>
      <c r="C99" s="36" t="s">
        <v>383</v>
      </c>
      <c r="D99" t="s">
        <v>574</v>
      </c>
    </row>
    <row r="100" spans="2:4" x14ac:dyDescent="0.25">
      <c r="B100" t="s">
        <v>575</v>
      </c>
      <c r="C100" s="36" t="s">
        <v>383</v>
      </c>
      <c r="D100" t="s">
        <v>576</v>
      </c>
    </row>
    <row r="101" spans="2:4" x14ac:dyDescent="0.25">
      <c r="B101" t="s">
        <v>577</v>
      </c>
      <c r="C101" s="36" t="s">
        <v>383</v>
      </c>
      <c r="D101" t="s">
        <v>578</v>
      </c>
    </row>
    <row r="102" spans="2:4" x14ac:dyDescent="0.25">
      <c r="B102" t="s">
        <v>579</v>
      </c>
      <c r="C102" s="36" t="s">
        <v>383</v>
      </c>
      <c r="D102" t="s">
        <v>150</v>
      </c>
    </row>
    <row r="103" spans="2:4" x14ac:dyDescent="0.25">
      <c r="B103" t="s">
        <v>580</v>
      </c>
      <c r="C103" s="36" t="s">
        <v>383</v>
      </c>
      <c r="D103" t="s">
        <v>581</v>
      </c>
    </row>
    <row r="104" spans="2:4" x14ac:dyDescent="0.25">
      <c r="B104" t="s">
        <v>582</v>
      </c>
      <c r="C104" s="36" t="s">
        <v>383</v>
      </c>
      <c r="D104" t="s">
        <v>155</v>
      </c>
    </row>
    <row r="105" spans="2:4" x14ac:dyDescent="0.25">
      <c r="B105" t="s">
        <v>583</v>
      </c>
      <c r="C105" s="36" t="s">
        <v>383</v>
      </c>
      <c r="D105" t="s">
        <v>158</v>
      </c>
    </row>
    <row r="106" spans="2:4" x14ac:dyDescent="0.25">
      <c r="B106" t="s">
        <v>584</v>
      </c>
      <c r="C106" s="36" t="s">
        <v>383</v>
      </c>
      <c r="D106" t="s">
        <v>160</v>
      </c>
    </row>
    <row r="107" spans="2:4" x14ac:dyDescent="0.25">
      <c r="B107" t="s">
        <v>585</v>
      </c>
      <c r="C107" s="36" t="s">
        <v>383</v>
      </c>
      <c r="D107" t="s">
        <v>586</v>
      </c>
    </row>
    <row r="108" spans="2:4" x14ac:dyDescent="0.25">
      <c r="B108" t="s">
        <v>587</v>
      </c>
      <c r="C108" s="36" t="s">
        <v>383</v>
      </c>
      <c r="D108" t="s">
        <v>588</v>
      </c>
    </row>
    <row r="109" spans="2:4" x14ac:dyDescent="0.25">
      <c r="B109" t="s">
        <v>589</v>
      </c>
      <c r="C109" s="36" t="s">
        <v>383</v>
      </c>
      <c r="D109" t="s">
        <v>164</v>
      </c>
    </row>
    <row r="110" spans="2:4" x14ac:dyDescent="0.25">
      <c r="B110" t="s">
        <v>590</v>
      </c>
      <c r="C110" s="36" t="s">
        <v>383</v>
      </c>
      <c r="D110" t="s">
        <v>591</v>
      </c>
    </row>
    <row r="111" spans="2:4" x14ac:dyDescent="0.25">
      <c r="B111" t="s">
        <v>592</v>
      </c>
      <c r="C111" s="36" t="s">
        <v>383</v>
      </c>
      <c r="D111" t="s">
        <v>166</v>
      </c>
    </row>
    <row r="112" spans="2:4" x14ac:dyDescent="0.25">
      <c r="B112" t="s">
        <v>593</v>
      </c>
      <c r="C112" s="36" t="s">
        <v>383</v>
      </c>
      <c r="D112" t="s">
        <v>594</v>
      </c>
    </row>
    <row r="113" spans="2:4" x14ac:dyDescent="0.25">
      <c r="B113" t="s">
        <v>595</v>
      </c>
      <c r="C113" s="36" t="s">
        <v>383</v>
      </c>
      <c r="D113" t="s">
        <v>591</v>
      </c>
    </row>
    <row r="114" spans="2:4" x14ac:dyDescent="0.25">
      <c r="B114" t="s">
        <v>596</v>
      </c>
      <c r="C114" s="36" t="s">
        <v>383</v>
      </c>
      <c r="D114" t="s">
        <v>597</v>
      </c>
    </row>
    <row r="115" spans="2:4" x14ac:dyDescent="0.25">
      <c r="B115" t="s">
        <v>598</v>
      </c>
      <c r="C115" s="36" t="s">
        <v>383</v>
      </c>
      <c r="D115" t="s">
        <v>599</v>
      </c>
    </row>
    <row r="116" spans="2:4" x14ac:dyDescent="0.25">
      <c r="B116" t="s">
        <v>600</v>
      </c>
      <c r="C116" s="36" t="s">
        <v>337</v>
      </c>
      <c r="D116" t="s">
        <v>601</v>
      </c>
    </row>
    <row r="117" spans="2:4" x14ac:dyDescent="0.25">
      <c r="B117" t="s">
        <v>602</v>
      </c>
      <c r="C117" s="36" t="s">
        <v>559</v>
      </c>
      <c r="D117" t="s">
        <v>603</v>
      </c>
    </row>
    <row r="118" spans="2:4" x14ac:dyDescent="0.25">
      <c r="B118" t="s">
        <v>604</v>
      </c>
      <c r="C118" s="36" t="s">
        <v>559</v>
      </c>
      <c r="D118" t="s">
        <v>605</v>
      </c>
    </row>
    <row r="119" spans="2:4" x14ac:dyDescent="0.25">
      <c r="B119" t="s">
        <v>606</v>
      </c>
      <c r="C119" s="36" t="s">
        <v>559</v>
      </c>
      <c r="D119" t="s">
        <v>607</v>
      </c>
    </row>
    <row r="120" spans="2:4" x14ac:dyDescent="0.25">
      <c r="B120" t="s">
        <v>608</v>
      </c>
      <c r="C120" s="36" t="s">
        <v>559</v>
      </c>
      <c r="D120" t="s">
        <v>609</v>
      </c>
    </row>
    <row r="121" spans="2:4" x14ac:dyDescent="0.25">
      <c r="B121" t="s">
        <v>610</v>
      </c>
      <c r="C121" s="36" t="s">
        <v>559</v>
      </c>
      <c r="D121" t="s">
        <v>611</v>
      </c>
    </row>
    <row r="122" spans="2:4" x14ac:dyDescent="0.25">
      <c r="B122" t="s">
        <v>612</v>
      </c>
      <c r="C122" s="36" t="s">
        <v>559</v>
      </c>
      <c r="D122" t="s">
        <v>613</v>
      </c>
    </row>
    <row r="123" spans="2:4" x14ac:dyDescent="0.25">
      <c r="B123" t="s">
        <v>614</v>
      </c>
      <c r="C123" s="36" t="s">
        <v>559</v>
      </c>
      <c r="D123" t="s">
        <v>615</v>
      </c>
    </row>
    <row r="124" spans="2:4" x14ac:dyDescent="0.25">
      <c r="B124" t="s">
        <v>616</v>
      </c>
      <c r="C124" s="36" t="s">
        <v>559</v>
      </c>
      <c r="D124" t="s">
        <v>617</v>
      </c>
    </row>
    <row r="125" spans="2:4" x14ac:dyDescent="0.25">
      <c r="B125" t="s">
        <v>618</v>
      </c>
      <c r="C125" s="36" t="s">
        <v>559</v>
      </c>
      <c r="D125" t="s">
        <v>619</v>
      </c>
    </row>
    <row r="126" spans="2:4" x14ac:dyDescent="0.25">
      <c r="B126" t="s">
        <v>620</v>
      </c>
      <c r="C126" s="36" t="s">
        <v>559</v>
      </c>
      <c r="D126" t="s">
        <v>621</v>
      </c>
    </row>
    <row r="127" spans="2:4" x14ac:dyDescent="0.25">
      <c r="B127" t="s">
        <v>622</v>
      </c>
      <c r="C127" s="36" t="s">
        <v>559</v>
      </c>
      <c r="D127" t="s">
        <v>623</v>
      </c>
    </row>
    <row r="128" spans="2:4" x14ac:dyDescent="0.25">
      <c r="B128" t="s">
        <v>624</v>
      </c>
      <c r="C128" s="36" t="s">
        <v>559</v>
      </c>
      <c r="D128" t="s">
        <v>625</v>
      </c>
    </row>
    <row r="129" spans="2:4" x14ac:dyDescent="0.25">
      <c r="B129" t="s">
        <v>626</v>
      </c>
      <c r="C129" s="36" t="s">
        <v>559</v>
      </c>
      <c r="D129" t="s">
        <v>627</v>
      </c>
    </row>
    <row r="130" spans="2:4" x14ac:dyDescent="0.25">
      <c r="B130" t="s">
        <v>628</v>
      </c>
      <c r="C130" s="36" t="s">
        <v>559</v>
      </c>
      <c r="D130" t="s">
        <v>629</v>
      </c>
    </row>
    <row r="131" spans="2:4" x14ac:dyDescent="0.25">
      <c r="B131" t="s">
        <v>630</v>
      </c>
      <c r="C131" s="36" t="s">
        <v>559</v>
      </c>
      <c r="D131" t="s">
        <v>631</v>
      </c>
    </row>
    <row r="132" spans="2:4" x14ac:dyDescent="0.25">
      <c r="B132" t="s">
        <v>632</v>
      </c>
      <c r="C132" s="36" t="s">
        <v>559</v>
      </c>
      <c r="D132" t="s">
        <v>633</v>
      </c>
    </row>
    <row r="133" spans="2:4" x14ac:dyDescent="0.25">
      <c r="B133" t="s">
        <v>634</v>
      </c>
      <c r="C133" s="36" t="s">
        <v>559</v>
      </c>
      <c r="D133" t="s">
        <v>635</v>
      </c>
    </row>
    <row r="134" spans="2:4" x14ac:dyDescent="0.25">
      <c r="B134" t="s">
        <v>636</v>
      </c>
      <c r="C134" s="36" t="s">
        <v>559</v>
      </c>
      <c r="D134" t="s">
        <v>637</v>
      </c>
    </row>
    <row r="135" spans="2:4" x14ac:dyDescent="0.25">
      <c r="B135" t="s">
        <v>638</v>
      </c>
      <c r="C135" s="36" t="s">
        <v>559</v>
      </c>
      <c r="D135" t="s">
        <v>639</v>
      </c>
    </row>
    <row r="136" spans="2:4" x14ac:dyDescent="0.25">
      <c r="B136" t="s">
        <v>640</v>
      </c>
      <c r="C136" s="36" t="s">
        <v>559</v>
      </c>
      <c r="D136" t="s">
        <v>641</v>
      </c>
    </row>
    <row r="137" spans="2:4" x14ac:dyDescent="0.25">
      <c r="B137" t="s">
        <v>642</v>
      </c>
      <c r="C137" s="36" t="s">
        <v>559</v>
      </c>
      <c r="D137" t="s">
        <v>643</v>
      </c>
    </row>
    <row r="138" spans="2:4" x14ac:dyDescent="0.25">
      <c r="B138" t="s">
        <v>644</v>
      </c>
      <c r="C138" s="36" t="s">
        <v>559</v>
      </c>
      <c r="D138" t="s">
        <v>645</v>
      </c>
    </row>
    <row r="139" spans="2:4" x14ac:dyDescent="0.25">
      <c r="B139" t="s">
        <v>646</v>
      </c>
      <c r="C139" s="36" t="s">
        <v>559</v>
      </c>
      <c r="D139" t="s">
        <v>647</v>
      </c>
    </row>
    <row r="140" spans="2:4" x14ac:dyDescent="0.25">
      <c r="B140" t="s">
        <v>648</v>
      </c>
      <c r="C140" s="36" t="s">
        <v>559</v>
      </c>
      <c r="D140" t="s">
        <v>649</v>
      </c>
    </row>
    <row r="141" spans="2:4" x14ac:dyDescent="0.25">
      <c r="B141" t="s">
        <v>650</v>
      </c>
      <c r="C141" s="36" t="s">
        <v>559</v>
      </c>
      <c r="D141" t="s">
        <v>651</v>
      </c>
    </row>
    <row r="142" spans="2:4" x14ac:dyDescent="0.25">
      <c r="B142" t="s">
        <v>652</v>
      </c>
      <c r="C142" s="36" t="s">
        <v>559</v>
      </c>
      <c r="D142" t="s">
        <v>653</v>
      </c>
    </row>
    <row r="143" spans="2:4" x14ac:dyDescent="0.25">
      <c r="B143" t="s">
        <v>654</v>
      </c>
      <c r="C143" s="36" t="s">
        <v>559</v>
      </c>
      <c r="D143" t="s">
        <v>655</v>
      </c>
    </row>
    <row r="144" spans="2:4" x14ac:dyDescent="0.25">
      <c r="B144" t="s">
        <v>656</v>
      </c>
      <c r="C144" s="36" t="s">
        <v>559</v>
      </c>
      <c r="D144" t="s">
        <v>657</v>
      </c>
    </row>
    <row r="145" spans="2:4" x14ac:dyDescent="0.25">
      <c r="B145" t="s">
        <v>658</v>
      </c>
      <c r="C145" s="36" t="s">
        <v>559</v>
      </c>
      <c r="D145" t="s">
        <v>659</v>
      </c>
    </row>
    <row r="146" spans="2:4" x14ac:dyDescent="0.25">
      <c r="B146" t="s">
        <v>660</v>
      </c>
      <c r="C146" s="36" t="s">
        <v>559</v>
      </c>
      <c r="D146" t="s">
        <v>661</v>
      </c>
    </row>
    <row r="147" spans="2:4" x14ac:dyDescent="0.25">
      <c r="B147" t="s">
        <v>662</v>
      </c>
      <c r="C147" s="36" t="s">
        <v>559</v>
      </c>
      <c r="D147" t="s">
        <v>663</v>
      </c>
    </row>
    <row r="148" spans="2:4" x14ac:dyDescent="0.25">
      <c r="B148" t="s">
        <v>664</v>
      </c>
      <c r="C148" s="36" t="s">
        <v>559</v>
      </c>
      <c r="D148" t="s">
        <v>665</v>
      </c>
    </row>
    <row r="149" spans="2:4" x14ac:dyDescent="0.25">
      <c r="B149" t="s">
        <v>666</v>
      </c>
      <c r="C149" s="36" t="s">
        <v>559</v>
      </c>
      <c r="D149" t="s">
        <v>667</v>
      </c>
    </row>
    <row r="150" spans="2:4" x14ac:dyDescent="0.25">
      <c r="B150" t="s">
        <v>668</v>
      </c>
      <c r="C150" s="36" t="s">
        <v>559</v>
      </c>
      <c r="D150" t="s">
        <v>669</v>
      </c>
    </row>
    <row r="151" spans="2:4" x14ac:dyDescent="0.25">
      <c r="B151" t="s">
        <v>670</v>
      </c>
      <c r="C151" s="36" t="s">
        <v>559</v>
      </c>
      <c r="D151" t="s">
        <v>671</v>
      </c>
    </row>
    <row r="152" spans="2:4" x14ac:dyDescent="0.25">
      <c r="B152" t="s">
        <v>672</v>
      </c>
      <c r="C152" s="36" t="s">
        <v>559</v>
      </c>
      <c r="D152" t="s">
        <v>673</v>
      </c>
    </row>
    <row r="153" spans="2:4" x14ac:dyDescent="0.25">
      <c r="B153" t="s">
        <v>668</v>
      </c>
      <c r="C153" s="36" t="s">
        <v>559</v>
      </c>
      <c r="D153" t="s">
        <v>669</v>
      </c>
    </row>
    <row r="154" spans="2:4" x14ac:dyDescent="0.25">
      <c r="B154" t="s">
        <v>674</v>
      </c>
      <c r="C154" s="36" t="s">
        <v>559</v>
      </c>
      <c r="D154" t="s">
        <v>675</v>
      </c>
    </row>
    <row r="155" spans="2:4" x14ac:dyDescent="0.25">
      <c r="B155" t="s">
        <v>676</v>
      </c>
      <c r="C155" s="36" t="s">
        <v>559</v>
      </c>
      <c r="D155" t="s">
        <v>677</v>
      </c>
    </row>
    <row r="156" spans="2:4" x14ac:dyDescent="0.25">
      <c r="B156" t="s">
        <v>678</v>
      </c>
      <c r="C156" s="36" t="s">
        <v>559</v>
      </c>
      <c r="D156" t="s">
        <v>679</v>
      </c>
    </row>
    <row r="157" spans="2:4" x14ac:dyDescent="0.25">
      <c r="B157" t="s">
        <v>680</v>
      </c>
      <c r="C157" s="36" t="s">
        <v>559</v>
      </c>
      <c r="D157" t="s">
        <v>681</v>
      </c>
    </row>
    <row r="158" spans="2:4" x14ac:dyDescent="0.25">
      <c r="B158" t="s">
        <v>682</v>
      </c>
      <c r="C158" s="36" t="s">
        <v>559</v>
      </c>
      <c r="D158" t="s">
        <v>683</v>
      </c>
    </row>
    <row r="159" spans="2:4" x14ac:dyDescent="0.25">
      <c r="B159" t="s">
        <v>684</v>
      </c>
      <c r="C159" s="36" t="s">
        <v>559</v>
      </c>
      <c r="D159" t="s">
        <v>685</v>
      </c>
    </row>
    <row r="160" spans="2:4" x14ac:dyDescent="0.25">
      <c r="B160" t="s">
        <v>686</v>
      </c>
      <c r="C160" s="36" t="s">
        <v>559</v>
      </c>
      <c r="D160" t="s">
        <v>687</v>
      </c>
    </row>
    <row r="161" spans="2:4" x14ac:dyDescent="0.25">
      <c r="B161" t="s">
        <v>688</v>
      </c>
      <c r="C161" s="36" t="s">
        <v>559</v>
      </c>
      <c r="D161" t="s">
        <v>689</v>
      </c>
    </row>
    <row r="162" spans="2:4" x14ac:dyDescent="0.25">
      <c r="B162" t="s">
        <v>690</v>
      </c>
      <c r="C162" s="36" t="s">
        <v>559</v>
      </c>
      <c r="D162" t="s">
        <v>691</v>
      </c>
    </row>
    <row r="163" spans="2:4" x14ac:dyDescent="0.25">
      <c r="B163" t="s">
        <v>692</v>
      </c>
      <c r="C163" s="36" t="s">
        <v>559</v>
      </c>
      <c r="D163" t="s">
        <v>693</v>
      </c>
    </row>
    <row r="164" spans="2:4" x14ac:dyDescent="0.25">
      <c r="B164" t="s">
        <v>694</v>
      </c>
      <c r="C164" s="36" t="s">
        <v>559</v>
      </c>
      <c r="D164" t="s">
        <v>695</v>
      </c>
    </row>
    <row r="165" spans="2:4" x14ac:dyDescent="0.25">
      <c r="B165" t="s">
        <v>696</v>
      </c>
      <c r="C165" s="36" t="s">
        <v>559</v>
      </c>
      <c r="D165" t="s">
        <v>697</v>
      </c>
    </row>
    <row r="166" spans="2:4" x14ac:dyDescent="0.25">
      <c r="B166" t="s">
        <v>698</v>
      </c>
      <c r="C166" s="36" t="s">
        <v>559</v>
      </c>
      <c r="D166" t="s">
        <v>699</v>
      </c>
    </row>
    <row r="167" spans="2:4" x14ac:dyDescent="0.25">
      <c r="B167" t="s">
        <v>700</v>
      </c>
      <c r="C167" s="36" t="s">
        <v>559</v>
      </c>
      <c r="D167" t="s">
        <v>701</v>
      </c>
    </row>
    <row r="168" spans="2:4" x14ac:dyDescent="0.25">
      <c r="B168" t="s">
        <v>702</v>
      </c>
      <c r="C168" s="36" t="s">
        <v>559</v>
      </c>
      <c r="D168" t="s">
        <v>703</v>
      </c>
    </row>
    <row r="169" spans="2:4" x14ac:dyDescent="0.25">
      <c r="B169" t="s">
        <v>704</v>
      </c>
      <c r="C169" s="36" t="s">
        <v>559</v>
      </c>
      <c r="D169" t="s">
        <v>705</v>
      </c>
    </row>
    <row r="170" spans="2:4" x14ac:dyDescent="0.25">
      <c r="B170" t="s">
        <v>580</v>
      </c>
      <c r="C170" s="36" t="s">
        <v>559</v>
      </c>
      <c r="D170" t="s">
        <v>581</v>
      </c>
    </row>
    <row r="171" spans="2:4" x14ac:dyDescent="0.25">
      <c r="B171" t="s">
        <v>706</v>
      </c>
      <c r="C171" s="36" t="s">
        <v>559</v>
      </c>
      <c r="D171" t="s">
        <v>707</v>
      </c>
    </row>
    <row r="172" spans="2:4" x14ac:dyDescent="0.25">
      <c r="B172" t="s">
        <v>708</v>
      </c>
      <c r="C172" s="36" t="s">
        <v>559</v>
      </c>
      <c r="D172" t="s">
        <v>709</v>
      </c>
    </row>
    <row r="173" spans="2:4" x14ac:dyDescent="0.25">
      <c r="B173" t="s">
        <v>710</v>
      </c>
      <c r="C173" s="36" t="s">
        <v>559</v>
      </c>
      <c r="D173" t="s">
        <v>711</v>
      </c>
    </row>
    <row r="174" spans="2:4" x14ac:dyDescent="0.25">
      <c r="B174" t="s">
        <v>712</v>
      </c>
      <c r="C174" s="36" t="s">
        <v>559</v>
      </c>
      <c r="D174" t="s">
        <v>713</v>
      </c>
    </row>
    <row r="175" spans="2:4" x14ac:dyDescent="0.25">
      <c r="B175" t="s">
        <v>714</v>
      </c>
      <c r="C175" s="36" t="s">
        <v>559</v>
      </c>
      <c r="D175" t="s">
        <v>715</v>
      </c>
    </row>
    <row r="176" spans="2:4" x14ac:dyDescent="0.25">
      <c r="B176" t="s">
        <v>559</v>
      </c>
      <c r="C176" s="36" t="s">
        <v>559</v>
      </c>
      <c r="D176" t="s">
        <v>716</v>
      </c>
    </row>
    <row r="177" spans="2:4" x14ac:dyDescent="0.25">
      <c r="B177" t="s">
        <v>717</v>
      </c>
      <c r="C177" s="36" t="s">
        <v>559</v>
      </c>
      <c r="D177" t="s">
        <v>718</v>
      </c>
    </row>
    <row r="178" spans="2:4" x14ac:dyDescent="0.25">
      <c r="B178" t="s">
        <v>719</v>
      </c>
      <c r="C178" s="36" t="s">
        <v>559</v>
      </c>
      <c r="D178" t="s">
        <v>715</v>
      </c>
    </row>
    <row r="179" spans="2:4" x14ac:dyDescent="0.25">
      <c r="B179" t="s">
        <v>720</v>
      </c>
      <c r="C179" s="36" t="s">
        <v>559</v>
      </c>
      <c r="D179" t="s">
        <v>721</v>
      </c>
    </row>
    <row r="180" spans="2:4" x14ac:dyDescent="0.25">
      <c r="B180" t="s">
        <v>722</v>
      </c>
      <c r="C180" s="36" t="s">
        <v>559</v>
      </c>
      <c r="D180" t="s">
        <v>723</v>
      </c>
    </row>
    <row r="181" spans="2:4" x14ac:dyDescent="0.25">
      <c r="B181" t="s">
        <v>724</v>
      </c>
      <c r="C181" s="36" t="s">
        <v>356</v>
      </c>
      <c r="D181" t="s">
        <v>725</v>
      </c>
    </row>
    <row r="182" spans="2:4" x14ac:dyDescent="0.25">
      <c r="B182" t="s">
        <v>726</v>
      </c>
      <c r="C182" s="36" t="s">
        <v>307</v>
      </c>
      <c r="D182" t="s">
        <v>727</v>
      </c>
    </row>
    <row r="183" spans="2:4" x14ac:dyDescent="0.25">
      <c r="B183" t="s">
        <v>728</v>
      </c>
      <c r="C183" s="36" t="s">
        <v>307</v>
      </c>
      <c r="D183" t="s">
        <v>727</v>
      </c>
    </row>
    <row r="184" spans="2:4" x14ac:dyDescent="0.25">
      <c r="B184" t="s">
        <v>729</v>
      </c>
      <c r="C184" s="36" t="s">
        <v>307</v>
      </c>
      <c r="D184" t="s">
        <v>318</v>
      </c>
    </row>
    <row r="185" spans="2:4" x14ac:dyDescent="0.25">
      <c r="B185" t="s">
        <v>730</v>
      </c>
      <c r="C185" s="36" t="s">
        <v>307</v>
      </c>
      <c r="D185" t="s">
        <v>731</v>
      </c>
    </row>
    <row r="186" spans="2:4" x14ac:dyDescent="0.25">
      <c r="B186" t="s">
        <v>732</v>
      </c>
      <c r="C186" s="36" t="s">
        <v>307</v>
      </c>
      <c r="D186" t="s">
        <v>733</v>
      </c>
    </row>
    <row r="187" spans="2:4" x14ac:dyDescent="0.25">
      <c r="B187" t="s">
        <v>734</v>
      </c>
      <c r="C187" s="36" t="s">
        <v>307</v>
      </c>
      <c r="D187" t="s">
        <v>312</v>
      </c>
    </row>
    <row r="188" spans="2:4" x14ac:dyDescent="0.25">
      <c r="B188" t="s">
        <v>735</v>
      </c>
      <c r="C188" s="36" t="s">
        <v>356</v>
      </c>
      <c r="D188" t="s">
        <v>321</v>
      </c>
    </row>
    <row r="189" spans="2:4" x14ac:dyDescent="0.25">
      <c r="B189" t="s">
        <v>736</v>
      </c>
      <c r="C189" s="36" t="s">
        <v>737</v>
      </c>
      <c r="D189" t="s">
        <v>738</v>
      </c>
    </row>
    <row r="190" spans="2:4" x14ac:dyDescent="0.25">
      <c r="B190" t="s">
        <v>739</v>
      </c>
      <c r="C190" s="36" t="s">
        <v>737</v>
      </c>
      <c r="D190" t="s">
        <v>740</v>
      </c>
    </row>
    <row r="191" spans="2:4" x14ac:dyDescent="0.25">
      <c r="B191" t="s">
        <v>741</v>
      </c>
      <c r="C191" s="36" t="s">
        <v>737</v>
      </c>
      <c r="D191" t="s">
        <v>742</v>
      </c>
    </row>
    <row r="192" spans="2:4" x14ac:dyDescent="0.25">
      <c r="B192" t="s">
        <v>743</v>
      </c>
      <c r="C192" s="36" t="s">
        <v>737</v>
      </c>
      <c r="D192" t="s">
        <v>744</v>
      </c>
    </row>
    <row r="193" spans="2:4" x14ac:dyDescent="0.25">
      <c r="B193" t="s">
        <v>745</v>
      </c>
      <c r="C193" s="36" t="s">
        <v>737</v>
      </c>
      <c r="D193" t="s">
        <v>746</v>
      </c>
    </row>
    <row r="194" spans="2:4" x14ac:dyDescent="0.25">
      <c r="B194" t="s">
        <v>747</v>
      </c>
      <c r="C194" s="36" t="s">
        <v>737</v>
      </c>
      <c r="D194" t="s">
        <v>748</v>
      </c>
    </row>
    <row r="195" spans="2:4" x14ac:dyDescent="0.25">
      <c r="B195" t="s">
        <v>749</v>
      </c>
      <c r="C195" s="36" t="s">
        <v>737</v>
      </c>
      <c r="D195" t="s">
        <v>750</v>
      </c>
    </row>
    <row r="196" spans="2:4" x14ac:dyDescent="0.25">
      <c r="B196" t="s">
        <v>751</v>
      </c>
      <c r="C196" s="36" t="s">
        <v>737</v>
      </c>
      <c r="D196" t="s">
        <v>752</v>
      </c>
    </row>
    <row r="197" spans="2:4" x14ac:dyDescent="0.25">
      <c r="B197" t="s">
        <v>749</v>
      </c>
      <c r="C197" s="36" t="s">
        <v>737</v>
      </c>
      <c r="D197" t="s">
        <v>750</v>
      </c>
    </row>
    <row r="198" spans="2:4" x14ac:dyDescent="0.25">
      <c r="B198" t="s">
        <v>753</v>
      </c>
      <c r="C198" s="36" t="s">
        <v>324</v>
      </c>
      <c r="D198" t="s">
        <v>334</v>
      </c>
    </row>
    <row r="199" spans="2:4" x14ac:dyDescent="0.25">
      <c r="B199" t="s">
        <v>754</v>
      </c>
      <c r="C199" s="36" t="s">
        <v>337</v>
      </c>
      <c r="D199" t="s">
        <v>338</v>
      </c>
    </row>
    <row r="200" spans="2:4" x14ac:dyDescent="0.25">
      <c r="B200" t="s">
        <v>755</v>
      </c>
      <c r="C200" s="36" t="s">
        <v>337</v>
      </c>
      <c r="D200" t="s">
        <v>756</v>
      </c>
    </row>
    <row r="201" spans="2:4" x14ac:dyDescent="0.25">
      <c r="B201" t="s">
        <v>757</v>
      </c>
      <c r="C201" s="36" t="s">
        <v>337</v>
      </c>
      <c r="D201" t="s">
        <v>758</v>
      </c>
    </row>
    <row r="202" spans="2:4" x14ac:dyDescent="0.25">
      <c r="B202" t="s">
        <v>759</v>
      </c>
      <c r="C202" s="36" t="s">
        <v>337</v>
      </c>
      <c r="D202" t="s">
        <v>760</v>
      </c>
    </row>
    <row r="203" spans="2:4" x14ac:dyDescent="0.25">
      <c r="B203" t="s">
        <v>755</v>
      </c>
      <c r="C203" s="36" t="s">
        <v>337</v>
      </c>
      <c r="D203" t="s">
        <v>344</v>
      </c>
    </row>
    <row r="204" spans="2:4" x14ac:dyDescent="0.25">
      <c r="B204" t="s">
        <v>761</v>
      </c>
      <c r="C204" s="36" t="s">
        <v>337</v>
      </c>
      <c r="D204" t="s">
        <v>346</v>
      </c>
    </row>
    <row r="205" spans="2:4" x14ac:dyDescent="0.25">
      <c r="B205" t="s">
        <v>762</v>
      </c>
      <c r="C205" s="36" t="s">
        <v>337</v>
      </c>
      <c r="D205" t="s">
        <v>763</v>
      </c>
    </row>
    <row r="206" spans="2:4" x14ac:dyDescent="0.25">
      <c r="B206" t="s">
        <v>764</v>
      </c>
      <c r="C206" s="36" t="s">
        <v>337</v>
      </c>
      <c r="D206" t="s">
        <v>765</v>
      </c>
    </row>
    <row r="207" spans="2:4" x14ac:dyDescent="0.25">
      <c r="B207" t="s">
        <v>766</v>
      </c>
      <c r="C207" s="36" t="s">
        <v>337</v>
      </c>
      <c r="D207" t="s">
        <v>767</v>
      </c>
    </row>
    <row r="208" spans="2:4" x14ac:dyDescent="0.25">
      <c r="B208" t="s">
        <v>768</v>
      </c>
      <c r="C208" s="36" t="s">
        <v>337</v>
      </c>
      <c r="D208" t="s">
        <v>769</v>
      </c>
    </row>
    <row r="209" spans="2:4" x14ac:dyDescent="0.25">
      <c r="B209" t="s">
        <v>770</v>
      </c>
      <c r="C209" s="36" t="s">
        <v>337</v>
      </c>
      <c r="D209" t="s">
        <v>351</v>
      </c>
    </row>
    <row r="210" spans="2:4" x14ac:dyDescent="0.25">
      <c r="B210" t="s">
        <v>771</v>
      </c>
      <c r="C210" s="36" t="s">
        <v>337</v>
      </c>
      <c r="D210" t="s">
        <v>769</v>
      </c>
    </row>
    <row r="211" spans="2:4" x14ac:dyDescent="0.25">
      <c r="B211" t="s">
        <v>772</v>
      </c>
      <c r="C211" s="36" t="s">
        <v>337</v>
      </c>
      <c r="D211" t="s">
        <v>773</v>
      </c>
    </row>
    <row r="212" spans="2:4" x14ac:dyDescent="0.25">
      <c r="B212" t="s">
        <v>774</v>
      </c>
      <c r="C212" s="36" t="s">
        <v>337</v>
      </c>
      <c r="D212" t="s">
        <v>775</v>
      </c>
    </row>
    <row r="213" spans="2:4" x14ac:dyDescent="0.25">
      <c r="B213" t="s">
        <v>776</v>
      </c>
      <c r="C213" s="36" t="s">
        <v>356</v>
      </c>
      <c r="D213" t="s">
        <v>777</v>
      </c>
    </row>
    <row r="214" spans="2:4" x14ac:dyDescent="0.25">
      <c r="B214" t="s">
        <v>778</v>
      </c>
      <c r="C214" s="36" t="s">
        <v>356</v>
      </c>
      <c r="D214" t="s">
        <v>779</v>
      </c>
    </row>
    <row r="215" spans="2:4" x14ac:dyDescent="0.25">
      <c r="B215" t="s">
        <v>780</v>
      </c>
      <c r="C215" s="36" t="s">
        <v>356</v>
      </c>
      <c r="D215" t="s">
        <v>361</v>
      </c>
    </row>
    <row r="216" spans="2:4" x14ac:dyDescent="0.25">
      <c r="B216" t="s">
        <v>781</v>
      </c>
      <c r="C216" s="36" t="s">
        <v>356</v>
      </c>
      <c r="D216" t="s">
        <v>782</v>
      </c>
    </row>
    <row r="217" spans="2:4" x14ac:dyDescent="0.25">
      <c r="B217" t="s">
        <v>783</v>
      </c>
      <c r="C217" s="36" t="s">
        <v>356</v>
      </c>
      <c r="D217" t="s">
        <v>784</v>
      </c>
    </row>
    <row r="218" spans="2:4" x14ac:dyDescent="0.25">
      <c r="B218" t="s">
        <v>785</v>
      </c>
      <c r="C218" s="36" t="s">
        <v>356</v>
      </c>
      <c r="D218" t="s">
        <v>786</v>
      </c>
    </row>
    <row r="219" spans="2:4" x14ac:dyDescent="0.25">
      <c r="B219" t="s">
        <v>787</v>
      </c>
      <c r="C219" s="36" t="s">
        <v>356</v>
      </c>
      <c r="D219" t="s">
        <v>788</v>
      </c>
    </row>
    <row r="220" spans="2:4" x14ac:dyDescent="0.25">
      <c r="B220" t="s">
        <v>789</v>
      </c>
      <c r="C220" s="36" t="s">
        <v>356</v>
      </c>
      <c r="D220" t="s">
        <v>790</v>
      </c>
    </row>
    <row r="221" spans="2:4" x14ac:dyDescent="0.25">
      <c r="B221" t="s">
        <v>791</v>
      </c>
      <c r="C221" s="36" t="s">
        <v>356</v>
      </c>
      <c r="D221" t="s">
        <v>792</v>
      </c>
    </row>
    <row r="222" spans="2:4" x14ac:dyDescent="0.25">
      <c r="B222" t="s">
        <v>793</v>
      </c>
      <c r="C222" s="36" t="s">
        <v>356</v>
      </c>
      <c r="D222" t="s">
        <v>794</v>
      </c>
    </row>
    <row r="223" spans="2:4" x14ac:dyDescent="0.25">
      <c r="B223" t="s">
        <v>795</v>
      </c>
      <c r="C223" s="36" t="s">
        <v>356</v>
      </c>
      <c r="D223" t="s">
        <v>796</v>
      </c>
    </row>
    <row r="224" spans="2:4" x14ac:dyDescent="0.25">
      <c r="B224" t="s">
        <v>797</v>
      </c>
      <c r="C224" s="36" t="s">
        <v>356</v>
      </c>
      <c r="D224" t="s">
        <v>798</v>
      </c>
    </row>
    <row r="225" spans="2:4" x14ac:dyDescent="0.25">
      <c r="B225" t="s">
        <v>799</v>
      </c>
      <c r="C225" s="36" t="s">
        <v>356</v>
      </c>
      <c r="D225" t="s">
        <v>800</v>
      </c>
    </row>
    <row r="226" spans="2:4" x14ac:dyDescent="0.25">
      <c r="B226" t="s">
        <v>801</v>
      </c>
      <c r="C226" s="36" t="s">
        <v>356</v>
      </c>
      <c r="D226" t="s">
        <v>802</v>
      </c>
    </row>
    <row r="227" spans="2:4" x14ac:dyDescent="0.25">
      <c r="B227" t="s">
        <v>803</v>
      </c>
      <c r="C227" s="36" t="s">
        <v>356</v>
      </c>
      <c r="D227" t="s">
        <v>804</v>
      </c>
    </row>
    <row r="228" spans="2:4" x14ac:dyDescent="0.25">
      <c r="B228" t="s">
        <v>805</v>
      </c>
      <c r="C228" s="36" t="s">
        <v>356</v>
      </c>
      <c r="D228" t="s">
        <v>806</v>
      </c>
    </row>
    <row r="229" spans="2:4" x14ac:dyDescent="0.25">
      <c r="B229" t="s">
        <v>807</v>
      </c>
      <c r="C229" s="36" t="s">
        <v>364</v>
      </c>
      <c r="D229" t="s">
        <v>365</v>
      </c>
    </row>
    <row r="230" spans="2:4" x14ac:dyDescent="0.25">
      <c r="B230" t="s">
        <v>808</v>
      </c>
      <c r="C230" s="36" t="s">
        <v>364</v>
      </c>
      <c r="D230" t="s">
        <v>367</v>
      </c>
    </row>
    <row r="231" spans="2:4" x14ac:dyDescent="0.25">
      <c r="B231" t="s">
        <v>809</v>
      </c>
      <c r="C231" s="36" t="s">
        <v>364</v>
      </c>
      <c r="D231" t="s">
        <v>370</v>
      </c>
    </row>
    <row r="232" spans="2:4" x14ac:dyDescent="0.25">
      <c r="B232" t="s">
        <v>810</v>
      </c>
      <c r="C232" s="36" t="s">
        <v>364</v>
      </c>
      <c r="D232" t="s">
        <v>811</v>
      </c>
    </row>
    <row r="233" spans="2:4" x14ac:dyDescent="0.25">
      <c r="B233" t="s">
        <v>812</v>
      </c>
      <c r="C233" s="36" t="s">
        <v>364</v>
      </c>
      <c r="D233" t="s">
        <v>373</v>
      </c>
    </row>
    <row r="234" spans="2:4" x14ac:dyDescent="0.25">
      <c r="B234" t="s">
        <v>813</v>
      </c>
      <c r="C234" s="36" t="s">
        <v>364</v>
      </c>
      <c r="D234" t="s">
        <v>376</v>
      </c>
    </row>
    <row r="235" spans="2:4" x14ac:dyDescent="0.25">
      <c r="B235" t="s">
        <v>814</v>
      </c>
      <c r="C235" s="36" t="s">
        <v>815</v>
      </c>
      <c r="D235" t="s">
        <v>574</v>
      </c>
    </row>
    <row r="236" spans="2:4" x14ac:dyDescent="0.25">
      <c r="B236" t="s">
        <v>816</v>
      </c>
      <c r="C236" s="36" t="s">
        <v>815</v>
      </c>
      <c r="D236" t="s">
        <v>817</v>
      </c>
    </row>
    <row r="237" spans="2:4" x14ac:dyDescent="0.25">
      <c r="B237" t="s">
        <v>818</v>
      </c>
      <c r="C237" s="36" t="s">
        <v>815</v>
      </c>
      <c r="D237" t="s">
        <v>819</v>
      </c>
    </row>
    <row r="238" spans="2:4" x14ac:dyDescent="0.25">
      <c r="B238" t="s">
        <v>820</v>
      </c>
      <c r="C238" s="36" t="s">
        <v>815</v>
      </c>
      <c r="D238" t="s">
        <v>367</v>
      </c>
    </row>
    <row r="239" spans="2:4" x14ac:dyDescent="0.25">
      <c r="B239" t="s">
        <v>821</v>
      </c>
      <c r="C239" s="36" t="s">
        <v>815</v>
      </c>
      <c r="D239" t="s">
        <v>822</v>
      </c>
    </row>
    <row r="240" spans="2:4" x14ac:dyDescent="0.25">
      <c r="B240" t="s">
        <v>823</v>
      </c>
      <c r="C240" s="36" t="s">
        <v>815</v>
      </c>
      <c r="D240" t="s">
        <v>824</v>
      </c>
    </row>
    <row r="241" spans="2:4" x14ac:dyDescent="0.25">
      <c r="B241" t="s">
        <v>825</v>
      </c>
      <c r="C241" s="36" t="s">
        <v>815</v>
      </c>
      <c r="D241" t="s">
        <v>826</v>
      </c>
    </row>
    <row r="242" spans="2:4" x14ac:dyDescent="0.25">
      <c r="B242" t="s">
        <v>827</v>
      </c>
      <c r="C242" s="36" t="s">
        <v>815</v>
      </c>
      <c r="D242" t="s">
        <v>828</v>
      </c>
    </row>
    <row r="243" spans="2:4" x14ac:dyDescent="0.25">
      <c r="B243" s="127" t="s">
        <v>829</v>
      </c>
      <c r="C243" s="36" t="s">
        <v>815</v>
      </c>
      <c r="D243" t="s">
        <v>830</v>
      </c>
    </row>
    <row r="244" spans="2:4" x14ac:dyDescent="0.25">
      <c r="B244" t="s">
        <v>831</v>
      </c>
      <c r="C244" s="36" t="s">
        <v>832</v>
      </c>
      <c r="D244" t="s">
        <v>833</v>
      </c>
    </row>
    <row r="247" spans="2:4" x14ac:dyDescent="0.25">
      <c r="C247"/>
    </row>
    <row r="248" spans="2:4" x14ac:dyDescent="0.25">
      <c r="C248"/>
    </row>
    <row r="249" spans="2:4" x14ac:dyDescent="0.25">
      <c r="C249"/>
    </row>
    <row r="250" spans="2:4" x14ac:dyDescent="0.25">
      <c r="C250"/>
    </row>
    <row r="251" spans="2:4" x14ac:dyDescent="0.25">
      <c r="C251"/>
    </row>
    <row r="252" spans="2:4" x14ac:dyDescent="0.25">
      <c r="C252"/>
    </row>
    <row r="253" spans="2:4" x14ac:dyDescent="0.25">
      <c r="C253"/>
    </row>
    <row r="254" spans="2:4" x14ac:dyDescent="0.25">
      <c r="C254"/>
    </row>
    <row r="255" spans="2:4" x14ac:dyDescent="0.25">
      <c r="C255"/>
    </row>
    <row r="256" spans="2:4" x14ac:dyDescent="0.25">
      <c r="C256"/>
    </row>
    <row r="257" spans="3:3" x14ac:dyDescent="0.25">
      <c r="C257"/>
    </row>
    <row r="258" spans="3:3" x14ac:dyDescent="0.25">
      <c r="C258"/>
    </row>
    <row r="259" spans="3:3" x14ac:dyDescent="0.25">
      <c r="C259"/>
    </row>
    <row r="260" spans="3:3" x14ac:dyDescent="0.25">
      <c r="C260"/>
    </row>
    <row r="261" spans="3:3" x14ac:dyDescent="0.25">
      <c r="C261"/>
    </row>
    <row r="262" spans="3:3" x14ac:dyDescent="0.25">
      <c r="C262"/>
    </row>
    <row r="263" spans="3:3" x14ac:dyDescent="0.25">
      <c r="C263"/>
    </row>
    <row r="264" spans="3:3" x14ac:dyDescent="0.25">
      <c r="C264"/>
    </row>
    <row r="265" spans="3:3" x14ac:dyDescent="0.25">
      <c r="C265"/>
    </row>
    <row r="266" spans="3:3" x14ac:dyDescent="0.25">
      <c r="C266"/>
    </row>
    <row r="267" spans="3:3" x14ac:dyDescent="0.25">
      <c r="C267"/>
    </row>
    <row r="268" spans="3:3" x14ac:dyDescent="0.25">
      <c r="C268"/>
    </row>
    <row r="269" spans="3:3" ht="16.5" customHeight="1" x14ac:dyDescent="0.25">
      <c r="C269"/>
    </row>
    <row r="270" spans="3:3" x14ac:dyDescent="0.25">
      <c r="C270"/>
    </row>
    <row r="271" spans="3:3" x14ac:dyDescent="0.25">
      <c r="C271"/>
    </row>
    <row r="272" spans="3:3" x14ac:dyDescent="0.25">
      <c r="C272"/>
    </row>
    <row r="273" spans="3:3" x14ac:dyDescent="0.25">
      <c r="C273"/>
    </row>
    <row r="274" spans="3:3" x14ac:dyDescent="0.25">
      <c r="C274"/>
    </row>
    <row r="275" spans="3:3" x14ac:dyDescent="0.25">
      <c r="C275"/>
    </row>
    <row r="276" spans="3:3" x14ac:dyDescent="0.25">
      <c r="C276"/>
    </row>
    <row r="277" spans="3:3" x14ac:dyDescent="0.25">
      <c r="C277"/>
    </row>
    <row r="278" spans="3:3" x14ac:dyDescent="0.25">
      <c r="C278"/>
    </row>
    <row r="279" spans="3:3" x14ac:dyDescent="0.25">
      <c r="C279"/>
    </row>
    <row r="280" spans="3:3" x14ac:dyDescent="0.25">
      <c r="C280"/>
    </row>
    <row r="281" spans="3:3" x14ac:dyDescent="0.25">
      <c r="C281"/>
    </row>
    <row r="282" spans="3:3" x14ac:dyDescent="0.25">
      <c r="C282"/>
    </row>
    <row r="283" spans="3:3" x14ac:dyDescent="0.25">
      <c r="C283"/>
    </row>
    <row r="284" spans="3:3" x14ac:dyDescent="0.25">
      <c r="C284"/>
    </row>
    <row r="285" spans="3:3" x14ac:dyDescent="0.25">
      <c r="C285"/>
    </row>
    <row r="286" spans="3:3" x14ac:dyDescent="0.25">
      <c r="C286"/>
    </row>
  </sheetData>
  <autoFilter ref="B1:D237" xr:uid="{00000000-0009-0000-0000-000013000000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Planilha24"/>
  <dimension ref="B1:S362"/>
  <sheetViews>
    <sheetView showGridLines="0" zoomScale="40" zoomScaleNormal="40" zoomScaleSheetLayoutView="40" workbookViewId="0">
      <selection activeCell="C76" sqref="A76:C78"/>
    </sheetView>
  </sheetViews>
  <sheetFormatPr defaultColWidth="19.5703125" defaultRowHeight="15" x14ac:dyDescent="0.25"/>
  <cols>
    <col min="1" max="1" width="4" customWidth="1"/>
    <col min="2" max="2" width="31.28515625" bestFit="1" customWidth="1"/>
    <col min="3" max="3" width="36.5703125" bestFit="1" customWidth="1"/>
    <col min="4" max="4" width="25.7109375" customWidth="1"/>
    <col min="5" max="6" width="4" customWidth="1"/>
    <col min="7" max="7" width="31.28515625" bestFit="1" customWidth="1"/>
    <col min="8" max="8" width="36.5703125" bestFit="1" customWidth="1"/>
    <col min="9" max="9" width="25.7109375" customWidth="1"/>
    <col min="10" max="10" width="4" customWidth="1"/>
    <col min="11" max="11" width="3.85546875" customWidth="1"/>
    <col min="12" max="12" width="31.28515625" bestFit="1" customWidth="1"/>
    <col min="13" max="13" width="36.5703125" bestFit="1" customWidth="1"/>
    <col min="14" max="14" width="25.7109375" customWidth="1"/>
    <col min="15" max="16" width="4" customWidth="1"/>
    <col min="17" max="17" width="31.28515625" bestFit="1" customWidth="1"/>
    <col min="18" max="18" width="36.5703125" bestFit="1" customWidth="1"/>
    <col min="19" max="19" width="25.7109375" customWidth="1"/>
    <col min="20" max="20" width="4" customWidth="1"/>
  </cols>
  <sheetData>
    <row r="1" spans="2:19" ht="15.75" thickBot="1" x14ac:dyDescent="0.3"/>
    <row r="2" spans="2:19" ht="25.5" customHeight="1" x14ac:dyDescent="0.25">
      <c r="B2" s="131" t="s">
        <v>834</v>
      </c>
      <c r="C2" s="132"/>
      <c r="D2" s="133"/>
      <c r="G2" s="131" t="s">
        <v>834</v>
      </c>
      <c r="H2" s="132"/>
      <c r="I2" s="133"/>
      <c r="L2" s="131" t="s">
        <v>834</v>
      </c>
      <c r="M2" s="132"/>
      <c r="N2" s="133"/>
      <c r="O2" s="54"/>
      <c r="Q2" s="131" t="s">
        <v>834</v>
      </c>
      <c r="R2" s="132"/>
      <c r="S2" s="133"/>
    </row>
    <row r="3" spans="2:19" x14ac:dyDescent="0.25">
      <c r="B3" s="55"/>
      <c r="C3" s="56"/>
      <c r="D3" s="57"/>
      <c r="G3" s="55"/>
      <c r="H3" s="56"/>
      <c r="I3" s="57"/>
      <c r="L3" s="55"/>
      <c r="M3" s="56"/>
      <c r="N3" s="57"/>
      <c r="O3" s="58"/>
      <c r="Q3" s="55"/>
      <c r="R3" s="56"/>
      <c r="S3" s="57"/>
    </row>
    <row r="4" spans="2:19" x14ac:dyDescent="0.25">
      <c r="B4" s="59"/>
      <c r="C4" s="60"/>
      <c r="D4" s="61"/>
      <c r="G4" s="59"/>
      <c r="H4" s="60"/>
      <c r="I4" s="61"/>
      <c r="L4" s="59"/>
      <c r="M4" s="60"/>
      <c r="N4" s="61"/>
      <c r="O4" s="62"/>
      <c r="Q4" s="59"/>
      <c r="R4" s="60"/>
      <c r="S4" s="61"/>
    </row>
    <row r="5" spans="2:19" x14ac:dyDescent="0.25">
      <c r="B5" s="59"/>
      <c r="C5" s="63"/>
      <c r="D5" s="61"/>
      <c r="G5" s="59"/>
      <c r="H5" s="63"/>
      <c r="I5" s="61"/>
      <c r="L5" s="59"/>
      <c r="M5" s="63"/>
      <c r="N5" s="61"/>
      <c r="O5" s="62"/>
      <c r="Q5" s="59"/>
      <c r="R5" s="63"/>
      <c r="S5" s="61"/>
    </row>
    <row r="6" spans="2:19" x14ac:dyDescent="0.25">
      <c r="B6" s="59"/>
      <c r="C6" s="64"/>
      <c r="D6" s="61"/>
      <c r="G6" s="59"/>
      <c r="H6" s="64"/>
      <c r="I6" s="61"/>
      <c r="L6" s="59"/>
      <c r="M6" s="64"/>
      <c r="N6" s="61"/>
      <c r="O6" s="62"/>
      <c r="Q6" s="59"/>
      <c r="R6" s="64"/>
      <c r="S6" s="61"/>
    </row>
    <row r="7" spans="2:19" x14ac:dyDescent="0.25">
      <c r="B7" s="59"/>
      <c r="C7" s="65"/>
      <c r="D7" s="61"/>
      <c r="G7" s="59"/>
      <c r="H7" s="65"/>
      <c r="I7" s="61"/>
      <c r="L7" s="59"/>
      <c r="M7" s="65"/>
      <c r="N7" s="61"/>
      <c r="O7" s="62"/>
      <c r="Q7" s="59"/>
      <c r="R7" s="65"/>
      <c r="S7" s="61"/>
    </row>
    <row r="8" spans="2:19" x14ac:dyDescent="0.25">
      <c r="B8" s="59"/>
      <c r="C8" s="66"/>
      <c r="D8" s="61"/>
      <c r="G8" s="59"/>
      <c r="H8" s="66"/>
      <c r="I8" s="61"/>
      <c r="L8" s="59"/>
      <c r="M8" s="66"/>
      <c r="N8" s="61"/>
      <c r="O8" s="62"/>
      <c r="Q8" s="59"/>
      <c r="R8" s="66"/>
      <c r="S8" s="61"/>
    </row>
    <row r="9" spans="2:19" x14ac:dyDescent="0.25">
      <c r="B9" s="59"/>
      <c r="C9" s="65"/>
      <c r="D9" s="61"/>
      <c r="G9" s="59"/>
      <c r="H9" s="65"/>
      <c r="I9" s="61"/>
      <c r="L9" s="59"/>
      <c r="M9" s="65"/>
      <c r="N9" s="61"/>
      <c r="O9" s="62"/>
      <c r="Q9" s="59"/>
      <c r="R9" s="65"/>
      <c r="S9" s="61"/>
    </row>
    <row r="10" spans="2:19" x14ac:dyDescent="0.25">
      <c r="B10" s="59"/>
      <c r="C10" s="67"/>
      <c r="D10" s="61"/>
      <c r="G10" s="59"/>
      <c r="H10" s="67"/>
      <c r="I10" s="61"/>
      <c r="L10" s="59"/>
      <c r="M10" s="67"/>
      <c r="N10" s="61"/>
      <c r="O10" s="62"/>
      <c r="Q10" s="59"/>
      <c r="R10" s="67"/>
      <c r="S10" s="61"/>
    </row>
    <row r="11" spans="2:19" x14ac:dyDescent="0.25">
      <c r="B11" s="59"/>
      <c r="C11" s="63"/>
      <c r="D11" s="61"/>
      <c r="G11" s="59"/>
      <c r="H11" s="63"/>
      <c r="I11" s="61"/>
      <c r="L11" s="59"/>
      <c r="M11" s="63"/>
      <c r="N11" s="61"/>
      <c r="O11" s="62"/>
      <c r="Q11" s="59"/>
      <c r="R11" s="63"/>
      <c r="S11" s="61"/>
    </row>
    <row r="12" spans="2:19" x14ac:dyDescent="0.25">
      <c r="B12" s="59"/>
      <c r="C12" s="65"/>
      <c r="D12" s="61"/>
      <c r="G12" s="59"/>
      <c r="H12" s="65"/>
      <c r="I12" s="61"/>
      <c r="L12" s="59"/>
      <c r="M12" s="65"/>
      <c r="N12" s="61"/>
      <c r="O12" s="62"/>
      <c r="Q12" s="59"/>
      <c r="R12" s="65"/>
      <c r="S12" s="61"/>
    </row>
    <row r="13" spans="2:19" x14ac:dyDescent="0.25">
      <c r="B13" s="59"/>
      <c r="C13" s="63"/>
      <c r="D13" s="61"/>
      <c r="G13" s="59"/>
      <c r="H13" s="63"/>
      <c r="I13" s="61"/>
      <c r="L13" s="59"/>
      <c r="M13" s="63"/>
      <c r="N13" s="61"/>
      <c r="O13" s="62"/>
      <c r="Q13" s="59"/>
      <c r="R13" s="63"/>
      <c r="S13" s="61"/>
    </row>
    <row r="14" spans="2:19" x14ac:dyDescent="0.25">
      <c r="B14" s="59"/>
      <c r="C14" s="63"/>
      <c r="D14" s="68"/>
      <c r="G14" s="59"/>
      <c r="H14" s="63"/>
      <c r="I14" s="68"/>
      <c r="L14" s="59"/>
      <c r="M14" s="63"/>
      <c r="N14" s="68"/>
      <c r="O14" s="69"/>
      <c r="Q14" s="59"/>
      <c r="R14" s="63"/>
      <c r="S14" s="68"/>
    </row>
    <row r="15" spans="2:19" x14ac:dyDescent="0.25">
      <c r="B15" s="59"/>
      <c r="C15" s="63"/>
      <c r="D15" s="61"/>
      <c r="G15" s="59"/>
      <c r="H15" s="63"/>
      <c r="I15" s="61"/>
      <c r="L15" s="59"/>
      <c r="M15" s="63"/>
      <c r="N15" s="61"/>
      <c r="O15" s="62"/>
      <c r="Q15" s="59"/>
      <c r="R15" s="63"/>
      <c r="S15" s="61"/>
    </row>
    <row r="16" spans="2:19" x14ac:dyDescent="0.25">
      <c r="B16" s="59"/>
      <c r="C16" s="63"/>
      <c r="D16" s="61"/>
      <c r="G16" s="59"/>
      <c r="H16" s="63"/>
      <c r="I16" s="61"/>
      <c r="L16" s="59"/>
      <c r="M16" s="63"/>
      <c r="N16" s="61"/>
      <c r="O16" s="62"/>
      <c r="Q16" s="59"/>
      <c r="R16" s="63"/>
      <c r="S16" s="61"/>
    </row>
    <row r="17" spans="2:19" x14ac:dyDescent="0.25">
      <c r="B17" s="59"/>
      <c r="C17" s="66"/>
      <c r="D17" s="61"/>
      <c r="G17" s="59"/>
      <c r="H17" s="66"/>
      <c r="I17" s="61"/>
      <c r="L17" s="59"/>
      <c r="M17" s="66"/>
      <c r="N17" s="61"/>
      <c r="O17" s="62"/>
      <c r="Q17" s="59"/>
      <c r="R17" s="66"/>
      <c r="S17" s="61"/>
    </row>
    <row r="18" spans="2:19" x14ac:dyDescent="0.25">
      <c r="B18" s="59"/>
      <c r="C18" s="63"/>
      <c r="D18" s="61"/>
      <c r="G18" s="59"/>
      <c r="H18" s="63"/>
      <c r="I18" s="61"/>
      <c r="L18" s="59"/>
      <c r="M18" s="63"/>
      <c r="N18" s="61"/>
      <c r="O18" s="62"/>
      <c r="Q18" s="59"/>
      <c r="R18" s="63"/>
      <c r="S18" s="61"/>
    </row>
    <row r="19" spans="2:19" x14ac:dyDescent="0.25">
      <c r="B19" s="59"/>
      <c r="C19" s="63"/>
      <c r="D19" s="68"/>
      <c r="G19" s="59"/>
      <c r="H19" s="63"/>
      <c r="I19" s="68"/>
      <c r="L19" s="59"/>
      <c r="M19" s="63"/>
      <c r="N19" s="68"/>
      <c r="O19" s="69"/>
      <c r="Q19" s="59"/>
      <c r="R19" s="63"/>
      <c r="S19" s="68"/>
    </row>
    <row r="20" spans="2:19" x14ac:dyDescent="0.25">
      <c r="B20" s="59"/>
      <c r="C20" s="63"/>
      <c r="D20" s="68"/>
      <c r="G20" s="59"/>
      <c r="H20" s="63"/>
      <c r="I20" s="68"/>
      <c r="L20" s="59"/>
      <c r="M20" s="63"/>
      <c r="N20" s="68"/>
      <c r="O20" s="69"/>
      <c r="Q20" s="59"/>
      <c r="R20" s="63"/>
      <c r="S20" s="68"/>
    </row>
    <row r="21" spans="2:19" x14ac:dyDescent="0.25">
      <c r="B21" s="70"/>
      <c r="C21" s="71"/>
      <c r="D21" s="61"/>
      <c r="G21" s="70"/>
      <c r="H21" s="71"/>
      <c r="I21" s="61"/>
      <c r="L21" s="70"/>
      <c r="M21" s="71"/>
      <c r="N21" s="61"/>
      <c r="O21" s="62"/>
      <c r="Q21" s="70"/>
      <c r="R21" s="71"/>
      <c r="S21" s="61"/>
    </row>
    <row r="22" spans="2:19" x14ac:dyDescent="0.25">
      <c r="B22" s="70"/>
      <c r="C22" s="60"/>
      <c r="D22" s="68"/>
      <c r="G22" s="70"/>
      <c r="H22" s="60"/>
      <c r="I22" s="68"/>
      <c r="L22" s="70"/>
      <c r="M22" s="60"/>
      <c r="N22" s="68"/>
      <c r="O22" s="69"/>
      <c r="Q22" s="70"/>
      <c r="R22" s="60"/>
      <c r="S22" s="68"/>
    </row>
    <row r="23" spans="2:19" x14ac:dyDescent="0.25">
      <c r="B23" s="70"/>
      <c r="C23" s="38"/>
      <c r="D23" s="68"/>
      <c r="G23" s="70"/>
      <c r="H23" s="38"/>
      <c r="I23" s="68"/>
      <c r="L23" s="70"/>
      <c r="M23" s="38"/>
      <c r="N23" s="68"/>
      <c r="O23" s="69"/>
      <c r="Q23" s="70"/>
      <c r="R23" s="38"/>
      <c r="S23" s="68"/>
    </row>
    <row r="24" spans="2:19" ht="15.75" thickBot="1" x14ac:dyDescent="0.3">
      <c r="B24" s="72"/>
      <c r="C24" s="73"/>
      <c r="D24" s="74"/>
      <c r="G24" s="72"/>
      <c r="H24" s="73"/>
      <c r="I24" s="74"/>
      <c r="L24" s="72"/>
      <c r="M24" s="73"/>
      <c r="N24" s="74"/>
      <c r="O24" s="69"/>
      <c r="Q24" s="72"/>
      <c r="R24" s="73"/>
      <c r="S24" s="74"/>
    </row>
    <row r="25" spans="2:19" x14ac:dyDescent="0.25">
      <c r="B25" s="75"/>
      <c r="C25" s="76"/>
      <c r="D25" s="77"/>
      <c r="G25" s="75"/>
      <c r="H25" s="76"/>
      <c r="I25" s="77"/>
      <c r="L25" s="75"/>
      <c r="M25" s="76"/>
      <c r="N25" s="77"/>
      <c r="O25" s="77"/>
      <c r="Q25" s="75"/>
      <c r="R25" s="76"/>
      <c r="S25" s="77"/>
    </row>
    <row r="27" spans="2:19" ht="15.75" thickBot="1" x14ac:dyDescent="0.3"/>
    <row r="28" spans="2:19" ht="25.5" customHeight="1" thickBot="1" x14ac:dyDescent="0.3">
      <c r="B28" s="131" t="s">
        <v>834</v>
      </c>
      <c r="C28" s="132"/>
      <c r="D28" s="133"/>
      <c r="G28" s="131" t="s">
        <v>834</v>
      </c>
      <c r="H28" s="132"/>
      <c r="I28" s="133"/>
      <c r="L28" s="131" t="s">
        <v>834</v>
      </c>
      <c r="M28" s="132"/>
      <c r="N28" s="133"/>
      <c r="O28" s="54"/>
      <c r="Q28" s="131" t="s">
        <v>834</v>
      </c>
      <c r="R28" s="132"/>
      <c r="S28" s="133"/>
    </row>
    <row r="29" spans="2:19" x14ac:dyDescent="0.25">
      <c r="B29" s="55"/>
      <c r="C29" s="56"/>
      <c r="D29" s="57"/>
      <c r="G29" s="55"/>
      <c r="H29" s="56"/>
      <c r="I29" s="57"/>
      <c r="L29" s="55"/>
      <c r="M29" s="56"/>
      <c r="N29" s="57"/>
      <c r="O29" s="78"/>
      <c r="Q29" s="55"/>
      <c r="R29" s="56"/>
      <c r="S29" s="57"/>
    </row>
    <row r="30" spans="2:19" x14ac:dyDescent="0.25">
      <c r="B30" s="59"/>
      <c r="C30" s="60"/>
      <c r="D30" s="61"/>
      <c r="G30" s="59"/>
      <c r="H30" s="60"/>
      <c r="I30" s="61"/>
      <c r="L30" s="59"/>
      <c r="M30" s="60"/>
      <c r="N30" s="61"/>
      <c r="O30" s="62"/>
      <c r="Q30" s="59"/>
      <c r="R30" s="60"/>
      <c r="S30" s="61"/>
    </row>
    <row r="31" spans="2:19" x14ac:dyDescent="0.25">
      <c r="B31" s="59"/>
      <c r="C31" s="63"/>
      <c r="D31" s="61"/>
      <c r="G31" s="59"/>
      <c r="H31" s="63"/>
      <c r="I31" s="61"/>
      <c r="L31" s="59"/>
      <c r="M31" s="63"/>
      <c r="N31" s="61"/>
      <c r="O31" s="62"/>
      <c r="Q31" s="59"/>
      <c r="R31" s="63"/>
      <c r="S31" s="61"/>
    </row>
    <row r="32" spans="2:19" x14ac:dyDescent="0.25">
      <c r="B32" s="59"/>
      <c r="C32" s="64"/>
      <c r="D32" s="61"/>
      <c r="G32" s="59"/>
      <c r="H32" s="64"/>
      <c r="I32" s="61"/>
      <c r="L32" s="59"/>
      <c r="M32" s="64"/>
      <c r="N32" s="61"/>
      <c r="O32" s="62"/>
      <c r="Q32" s="59"/>
      <c r="R32" s="64"/>
      <c r="S32" s="61"/>
    </row>
    <row r="33" spans="2:19" x14ac:dyDescent="0.25">
      <c r="B33" s="59"/>
      <c r="C33" s="65"/>
      <c r="D33" s="61"/>
      <c r="G33" s="59"/>
      <c r="H33" s="65"/>
      <c r="I33" s="61"/>
      <c r="L33" s="59"/>
      <c r="M33" s="65"/>
      <c r="N33" s="61"/>
      <c r="O33" s="62"/>
      <c r="Q33" s="59"/>
      <c r="R33" s="65"/>
      <c r="S33" s="61"/>
    </row>
    <row r="34" spans="2:19" x14ac:dyDescent="0.25">
      <c r="B34" s="59"/>
      <c r="C34" s="66"/>
      <c r="D34" s="61"/>
      <c r="G34" s="59"/>
      <c r="H34" s="66"/>
      <c r="I34" s="61"/>
      <c r="L34" s="59"/>
      <c r="M34" s="66"/>
      <c r="N34" s="61"/>
      <c r="O34" s="62"/>
      <c r="Q34" s="59"/>
      <c r="R34" s="66"/>
      <c r="S34" s="61"/>
    </row>
    <row r="35" spans="2:19" x14ac:dyDescent="0.25">
      <c r="B35" s="59"/>
      <c r="C35" s="65"/>
      <c r="D35" s="61"/>
      <c r="G35" s="59"/>
      <c r="H35" s="65"/>
      <c r="I35" s="61"/>
      <c r="L35" s="59"/>
      <c r="M35" s="65"/>
      <c r="N35" s="61"/>
      <c r="O35" s="62"/>
      <c r="Q35" s="59"/>
      <c r="R35" s="65"/>
      <c r="S35" s="61"/>
    </row>
    <row r="36" spans="2:19" x14ac:dyDescent="0.25">
      <c r="B36" s="59"/>
      <c r="C36" s="67"/>
      <c r="D36" s="61"/>
      <c r="G36" s="59"/>
      <c r="H36" s="67"/>
      <c r="I36" s="61"/>
      <c r="L36" s="59"/>
      <c r="M36" s="67"/>
      <c r="N36" s="61"/>
      <c r="O36" s="62"/>
      <c r="Q36" s="59"/>
      <c r="R36" s="67"/>
      <c r="S36" s="61"/>
    </row>
    <row r="37" spans="2:19" x14ac:dyDescent="0.25">
      <c r="B37" s="59"/>
      <c r="C37" s="63"/>
      <c r="D37" s="61"/>
      <c r="G37" s="59"/>
      <c r="H37" s="63"/>
      <c r="I37" s="61"/>
      <c r="L37" s="59"/>
      <c r="M37" s="63"/>
      <c r="N37" s="61"/>
      <c r="O37" s="62"/>
      <c r="Q37" s="59"/>
      <c r="R37" s="63"/>
      <c r="S37" s="61"/>
    </row>
    <row r="38" spans="2:19" x14ac:dyDescent="0.25">
      <c r="B38" s="59"/>
      <c r="C38" s="65"/>
      <c r="D38" s="61"/>
      <c r="G38" s="59"/>
      <c r="H38" s="65"/>
      <c r="I38" s="61"/>
      <c r="L38" s="59"/>
      <c r="M38" s="65"/>
      <c r="N38" s="61"/>
      <c r="O38" s="62"/>
      <c r="Q38" s="59"/>
      <c r="R38" s="65"/>
      <c r="S38" s="61"/>
    </row>
    <row r="39" spans="2:19" x14ac:dyDescent="0.25">
      <c r="B39" s="59"/>
      <c r="C39" s="63"/>
      <c r="D39" s="61"/>
      <c r="G39" s="59"/>
      <c r="H39" s="63"/>
      <c r="I39" s="61"/>
      <c r="L39" s="59"/>
      <c r="M39" s="63"/>
      <c r="N39" s="61"/>
      <c r="O39" s="62"/>
      <c r="Q39" s="59"/>
      <c r="R39" s="63"/>
      <c r="S39" s="61"/>
    </row>
    <row r="40" spans="2:19" x14ac:dyDescent="0.25">
      <c r="B40" s="59"/>
      <c r="C40" s="63"/>
      <c r="D40" s="68"/>
      <c r="G40" s="59"/>
      <c r="H40" s="63"/>
      <c r="I40" s="68"/>
      <c r="L40" s="59"/>
      <c r="M40" s="63"/>
      <c r="N40" s="68"/>
      <c r="O40" s="69"/>
      <c r="Q40" s="59"/>
      <c r="R40" s="63"/>
      <c r="S40" s="68"/>
    </row>
    <row r="41" spans="2:19" x14ac:dyDescent="0.25">
      <c r="B41" s="59"/>
      <c r="C41" s="63"/>
      <c r="D41" s="61"/>
      <c r="G41" s="59"/>
      <c r="H41" s="63"/>
      <c r="I41" s="61"/>
      <c r="L41" s="59"/>
      <c r="M41" s="63"/>
      <c r="N41" s="61"/>
      <c r="O41" s="62"/>
      <c r="Q41" s="59"/>
      <c r="R41" s="63"/>
      <c r="S41" s="61"/>
    </row>
    <row r="42" spans="2:19" x14ac:dyDescent="0.25">
      <c r="B42" s="59"/>
      <c r="C42" s="63"/>
      <c r="D42" s="61"/>
      <c r="G42" s="59"/>
      <c r="H42" s="63"/>
      <c r="I42" s="61"/>
      <c r="L42" s="59"/>
      <c r="M42" s="63"/>
      <c r="N42" s="61"/>
      <c r="O42" s="62"/>
      <c r="Q42" s="59"/>
      <c r="R42" s="63"/>
      <c r="S42" s="61"/>
    </row>
    <row r="43" spans="2:19" x14ac:dyDescent="0.25">
      <c r="B43" s="59"/>
      <c r="C43" s="66"/>
      <c r="D43" s="61"/>
      <c r="G43" s="59"/>
      <c r="H43" s="66"/>
      <c r="I43" s="61"/>
      <c r="L43" s="59"/>
      <c r="M43" s="66"/>
      <c r="N43" s="61"/>
      <c r="O43" s="62"/>
      <c r="Q43" s="59"/>
      <c r="R43" s="66"/>
      <c r="S43" s="61"/>
    </row>
    <row r="44" spans="2:19" x14ac:dyDescent="0.25">
      <c r="B44" s="59"/>
      <c r="C44" s="63"/>
      <c r="D44" s="61"/>
      <c r="G44" s="59"/>
      <c r="H44" s="63"/>
      <c r="I44" s="61"/>
      <c r="L44" s="59"/>
      <c r="M44" s="63"/>
      <c r="N44" s="61"/>
      <c r="O44" s="62"/>
      <c r="Q44" s="59"/>
      <c r="R44" s="63"/>
      <c r="S44" s="61"/>
    </row>
    <row r="45" spans="2:19" x14ac:dyDescent="0.25">
      <c r="B45" s="59"/>
      <c r="C45" s="63"/>
      <c r="D45" s="68"/>
      <c r="G45" s="59"/>
      <c r="H45" s="63"/>
      <c r="I45" s="68"/>
      <c r="L45" s="59"/>
      <c r="M45" s="63"/>
      <c r="N45" s="68"/>
      <c r="O45" s="69"/>
      <c r="Q45" s="59"/>
      <c r="R45" s="63"/>
      <c r="S45" s="68"/>
    </row>
    <row r="46" spans="2:19" x14ac:dyDescent="0.25">
      <c r="B46" s="59"/>
      <c r="C46" s="63"/>
      <c r="D46" s="68"/>
      <c r="G46" s="59"/>
      <c r="H46" s="63"/>
      <c r="I46" s="68"/>
      <c r="L46" s="59"/>
      <c r="M46" s="63"/>
      <c r="N46" s="68"/>
      <c r="O46" s="62"/>
      <c r="Q46" s="59"/>
      <c r="R46" s="63"/>
      <c r="S46" s="68"/>
    </row>
    <row r="47" spans="2:19" x14ac:dyDescent="0.25">
      <c r="B47" s="70"/>
      <c r="C47" s="71"/>
      <c r="D47" s="61"/>
      <c r="G47" s="70"/>
      <c r="H47" s="71"/>
      <c r="I47" s="61"/>
      <c r="L47" s="70"/>
      <c r="M47" s="71"/>
      <c r="N47" s="61"/>
      <c r="O47" s="62"/>
      <c r="Q47" s="70"/>
      <c r="R47" s="71"/>
      <c r="S47" s="61"/>
    </row>
    <row r="48" spans="2:19" x14ac:dyDescent="0.25">
      <c r="B48" s="70"/>
      <c r="C48" s="60"/>
      <c r="D48" s="68"/>
      <c r="G48" s="70"/>
      <c r="H48" s="60"/>
      <c r="I48" s="68"/>
      <c r="L48" s="70"/>
      <c r="M48" s="60"/>
      <c r="N48" s="68"/>
      <c r="O48" s="69"/>
      <c r="Q48" s="70"/>
      <c r="R48" s="60"/>
      <c r="S48" s="68"/>
    </row>
    <row r="49" spans="2:19" x14ac:dyDescent="0.25">
      <c r="B49" s="70"/>
      <c r="C49" s="38"/>
      <c r="D49" s="68"/>
      <c r="G49" s="70"/>
      <c r="H49" s="38"/>
      <c r="I49" s="68"/>
      <c r="L49" s="70"/>
      <c r="M49" s="38"/>
      <c r="N49" s="68"/>
      <c r="O49" s="69"/>
      <c r="Q49" s="70"/>
      <c r="R49" s="38"/>
      <c r="S49" s="68"/>
    </row>
    <row r="50" spans="2:19" ht="15.75" thickBot="1" x14ac:dyDescent="0.3">
      <c r="B50" s="72"/>
      <c r="C50" s="73"/>
      <c r="D50" s="74"/>
      <c r="G50" s="72"/>
      <c r="H50" s="73"/>
      <c r="I50" s="74"/>
      <c r="L50" s="72"/>
      <c r="M50" s="73"/>
      <c r="N50" s="74"/>
      <c r="O50" s="69"/>
      <c r="Q50" s="72"/>
      <c r="R50" s="73"/>
      <c r="S50" s="74"/>
    </row>
    <row r="51" spans="2:19" x14ac:dyDescent="0.25">
      <c r="B51" s="79"/>
      <c r="C51" s="76"/>
      <c r="D51" s="80"/>
      <c r="G51" s="79"/>
      <c r="H51" s="76"/>
      <c r="I51" s="80"/>
      <c r="L51" s="79"/>
      <c r="M51" s="76"/>
      <c r="N51" s="80"/>
      <c r="O51" s="80"/>
      <c r="Q51" s="79"/>
      <c r="R51" s="76"/>
      <c r="S51" s="80"/>
    </row>
    <row r="52" spans="2:19" x14ac:dyDescent="0.25">
      <c r="B52" s="79"/>
      <c r="C52" s="76"/>
      <c r="D52" s="81"/>
      <c r="G52" s="79"/>
      <c r="H52" s="76"/>
      <c r="I52" s="81"/>
      <c r="L52" s="79"/>
      <c r="M52" s="76"/>
      <c r="N52" s="81"/>
      <c r="O52" s="81"/>
      <c r="Q52" s="79"/>
      <c r="R52" s="76"/>
      <c r="S52" s="81"/>
    </row>
    <row r="53" spans="2:19" ht="15.75" thickBot="1" x14ac:dyDescent="0.3"/>
    <row r="54" spans="2:19" ht="25.5" customHeight="1" thickBot="1" x14ac:dyDescent="0.3">
      <c r="B54" s="131" t="s">
        <v>834</v>
      </c>
      <c r="C54" s="132"/>
      <c r="D54" s="133"/>
      <c r="G54" s="131" t="s">
        <v>834</v>
      </c>
      <c r="H54" s="132"/>
      <c r="I54" s="133"/>
      <c r="L54" s="131" t="s">
        <v>834</v>
      </c>
      <c r="M54" s="132"/>
      <c r="N54" s="133"/>
      <c r="O54" s="54"/>
      <c r="Q54" s="131" t="s">
        <v>834</v>
      </c>
      <c r="R54" s="132"/>
      <c r="S54" s="133"/>
    </row>
    <row r="55" spans="2:19" x14ac:dyDescent="0.25">
      <c r="B55" s="55"/>
      <c r="C55" s="56"/>
      <c r="D55" s="57"/>
      <c r="G55" s="55"/>
      <c r="H55" s="56"/>
      <c r="I55" s="57"/>
      <c r="L55" s="55"/>
      <c r="M55" s="56"/>
      <c r="N55" s="57"/>
      <c r="O55" s="58"/>
      <c r="Q55" s="55"/>
      <c r="R55" s="56"/>
      <c r="S55" s="57"/>
    </row>
    <row r="56" spans="2:19" x14ac:dyDescent="0.25">
      <c r="B56" s="59"/>
      <c r="C56" s="60"/>
      <c r="D56" s="61"/>
      <c r="G56" s="59"/>
      <c r="H56" s="60"/>
      <c r="I56" s="61"/>
      <c r="L56" s="59"/>
      <c r="M56" s="60"/>
      <c r="N56" s="61"/>
      <c r="O56" s="62"/>
      <c r="Q56" s="59"/>
      <c r="R56" s="60"/>
      <c r="S56" s="61"/>
    </row>
    <row r="57" spans="2:19" x14ac:dyDescent="0.25">
      <c r="B57" s="59"/>
      <c r="C57" s="63"/>
      <c r="D57" s="61"/>
      <c r="G57" s="59"/>
      <c r="H57" s="63"/>
      <c r="I57" s="61"/>
      <c r="L57" s="59"/>
      <c r="M57" s="63"/>
      <c r="N57" s="61"/>
      <c r="O57" s="62"/>
      <c r="Q57" s="59"/>
      <c r="R57" s="63"/>
      <c r="S57" s="61"/>
    </row>
    <row r="58" spans="2:19" x14ac:dyDescent="0.25">
      <c r="B58" s="59"/>
      <c r="C58" s="64"/>
      <c r="D58" s="61"/>
      <c r="G58" s="59"/>
      <c r="H58" s="64"/>
      <c r="I58" s="61"/>
      <c r="L58" s="59"/>
      <c r="M58" s="64"/>
      <c r="N58" s="61"/>
      <c r="O58" s="62"/>
      <c r="Q58" s="59"/>
      <c r="R58" s="64"/>
      <c r="S58" s="61"/>
    </row>
    <row r="59" spans="2:19" x14ac:dyDescent="0.25">
      <c r="B59" s="59"/>
      <c r="C59" s="65"/>
      <c r="D59" s="61"/>
      <c r="G59" s="59"/>
      <c r="H59" s="65"/>
      <c r="I59" s="61"/>
      <c r="L59" s="59"/>
      <c r="M59" s="65"/>
      <c r="N59" s="61"/>
      <c r="O59" s="62"/>
      <c r="Q59" s="59"/>
      <c r="R59" s="65"/>
      <c r="S59" s="61"/>
    </row>
    <row r="60" spans="2:19" x14ac:dyDescent="0.25">
      <c r="B60" s="59"/>
      <c r="C60" s="66"/>
      <c r="D60" s="61"/>
      <c r="G60" s="59"/>
      <c r="H60" s="66"/>
      <c r="I60" s="61"/>
      <c r="L60" s="59"/>
      <c r="M60" s="66"/>
      <c r="N60" s="61"/>
      <c r="O60" s="62"/>
      <c r="Q60" s="59"/>
      <c r="R60" s="66"/>
      <c r="S60" s="61"/>
    </row>
    <row r="61" spans="2:19" x14ac:dyDescent="0.25">
      <c r="B61" s="59"/>
      <c r="C61" s="65"/>
      <c r="D61" s="61"/>
      <c r="G61" s="59"/>
      <c r="H61" s="65"/>
      <c r="I61" s="61"/>
      <c r="L61" s="59"/>
      <c r="M61" s="65"/>
      <c r="N61" s="61"/>
      <c r="O61" s="62"/>
      <c r="Q61" s="59"/>
      <c r="R61" s="65"/>
      <c r="S61" s="61"/>
    </row>
    <row r="62" spans="2:19" x14ac:dyDescent="0.25">
      <c r="B62" s="59"/>
      <c r="C62" s="67"/>
      <c r="D62" s="61"/>
      <c r="G62" s="59"/>
      <c r="H62" s="67"/>
      <c r="I62" s="61"/>
      <c r="L62" s="59"/>
      <c r="M62" s="67"/>
      <c r="N62" s="61"/>
      <c r="O62" s="62"/>
      <c r="Q62" s="59"/>
      <c r="R62" s="67"/>
      <c r="S62" s="61"/>
    </row>
    <row r="63" spans="2:19" x14ac:dyDescent="0.25">
      <c r="B63" s="59"/>
      <c r="C63" s="63"/>
      <c r="D63" s="61"/>
      <c r="G63" s="59"/>
      <c r="H63" s="63"/>
      <c r="I63" s="61"/>
      <c r="L63" s="59"/>
      <c r="M63" s="63"/>
      <c r="N63" s="61"/>
      <c r="O63" s="62"/>
      <c r="Q63" s="59"/>
      <c r="R63" s="63"/>
      <c r="S63" s="61"/>
    </row>
    <row r="64" spans="2:19" x14ac:dyDescent="0.25">
      <c r="B64" s="59"/>
      <c r="C64" s="65"/>
      <c r="D64" s="61"/>
      <c r="G64" s="59"/>
      <c r="H64" s="65"/>
      <c r="I64" s="61"/>
      <c r="L64" s="59"/>
      <c r="M64" s="65"/>
      <c r="N64" s="61"/>
      <c r="O64" s="62"/>
      <c r="Q64" s="59"/>
      <c r="R64" s="65"/>
      <c r="S64" s="61"/>
    </row>
    <row r="65" spans="2:19" x14ac:dyDescent="0.25">
      <c r="B65" s="59"/>
      <c r="C65" s="63"/>
      <c r="D65" s="61"/>
      <c r="G65" s="59"/>
      <c r="H65" s="63"/>
      <c r="I65" s="61"/>
      <c r="L65" s="59"/>
      <c r="M65" s="63"/>
      <c r="N65" s="61"/>
      <c r="O65" s="62"/>
      <c r="Q65" s="59"/>
      <c r="R65" s="63"/>
      <c r="S65" s="61"/>
    </row>
    <row r="66" spans="2:19" x14ac:dyDescent="0.25">
      <c r="B66" s="59"/>
      <c r="C66" s="63"/>
      <c r="D66" s="68"/>
      <c r="G66" s="59"/>
      <c r="H66" s="63"/>
      <c r="I66" s="68"/>
      <c r="L66" s="59"/>
      <c r="M66" s="63"/>
      <c r="N66" s="68"/>
      <c r="O66" s="69"/>
      <c r="Q66" s="59"/>
      <c r="R66" s="63"/>
      <c r="S66" s="68"/>
    </row>
    <row r="67" spans="2:19" x14ac:dyDescent="0.25">
      <c r="B67" s="59"/>
      <c r="C67" s="63"/>
      <c r="D67" s="61"/>
      <c r="G67" s="59"/>
      <c r="H67" s="63"/>
      <c r="I67" s="61"/>
      <c r="L67" s="59"/>
      <c r="M67" s="63"/>
      <c r="N67" s="61"/>
      <c r="O67" s="62"/>
      <c r="Q67" s="59"/>
      <c r="R67" s="63"/>
      <c r="S67" s="61"/>
    </row>
    <row r="68" spans="2:19" x14ac:dyDescent="0.25">
      <c r="B68" s="59"/>
      <c r="C68" s="63"/>
      <c r="D68" s="61"/>
      <c r="G68" s="59"/>
      <c r="H68" s="63"/>
      <c r="I68" s="61"/>
      <c r="L68" s="59"/>
      <c r="M68" s="63"/>
      <c r="N68" s="61"/>
      <c r="O68" s="62"/>
      <c r="Q68" s="59"/>
      <c r="R68" s="63"/>
      <c r="S68" s="61"/>
    </row>
    <row r="69" spans="2:19" x14ac:dyDescent="0.25">
      <c r="B69" s="59"/>
      <c r="C69" s="66"/>
      <c r="D69" s="61"/>
      <c r="G69" s="59"/>
      <c r="H69" s="66"/>
      <c r="I69" s="61"/>
      <c r="L69" s="59"/>
      <c r="M69" s="66"/>
      <c r="N69" s="61"/>
      <c r="O69" s="62"/>
      <c r="Q69" s="59"/>
      <c r="R69" s="66"/>
      <c r="S69" s="61"/>
    </row>
    <row r="70" spans="2:19" x14ac:dyDescent="0.25">
      <c r="B70" s="59"/>
      <c r="C70" s="63"/>
      <c r="D70" s="61"/>
      <c r="G70" s="59"/>
      <c r="H70" s="63"/>
      <c r="I70" s="61"/>
      <c r="L70" s="59"/>
      <c r="M70" s="63"/>
      <c r="N70" s="61"/>
      <c r="O70" s="62"/>
      <c r="Q70" s="59"/>
      <c r="R70" s="63"/>
      <c r="S70" s="61"/>
    </row>
    <row r="71" spans="2:19" x14ac:dyDescent="0.25">
      <c r="B71" s="59"/>
      <c r="C71" s="63"/>
      <c r="D71" s="68"/>
      <c r="G71" s="59"/>
      <c r="H71" s="63"/>
      <c r="I71" s="68"/>
      <c r="L71" s="59"/>
      <c r="M71" s="63"/>
      <c r="N71" s="68"/>
      <c r="O71" s="69"/>
      <c r="Q71" s="59"/>
      <c r="R71" s="63"/>
      <c r="S71" s="68"/>
    </row>
    <row r="72" spans="2:19" x14ac:dyDescent="0.25">
      <c r="B72" s="59"/>
      <c r="C72" s="63"/>
      <c r="D72" s="68"/>
      <c r="G72" s="59"/>
      <c r="H72" s="63"/>
      <c r="I72" s="68"/>
      <c r="L72" s="59"/>
      <c r="M72" s="63"/>
      <c r="N72" s="68"/>
      <c r="O72" s="69"/>
      <c r="Q72" s="59"/>
      <c r="R72" s="63"/>
      <c r="S72" s="68"/>
    </row>
    <row r="73" spans="2:19" x14ac:dyDescent="0.25">
      <c r="B73" s="70"/>
      <c r="C73" s="71"/>
      <c r="D73" s="61"/>
      <c r="G73" s="70"/>
      <c r="H73" s="71"/>
      <c r="I73" s="61"/>
      <c r="L73" s="70"/>
      <c r="M73" s="71"/>
      <c r="N73" s="61"/>
      <c r="O73" s="62"/>
      <c r="Q73" s="70"/>
      <c r="R73" s="71"/>
      <c r="S73" s="61"/>
    </row>
    <row r="74" spans="2:19" x14ac:dyDescent="0.25">
      <c r="B74" s="70"/>
      <c r="C74" s="60"/>
      <c r="D74" s="68"/>
      <c r="G74" s="70"/>
      <c r="H74" s="60"/>
      <c r="I74" s="68"/>
      <c r="L74" s="70"/>
      <c r="M74" s="60"/>
      <c r="N74" s="68"/>
      <c r="O74" s="69"/>
      <c r="Q74" s="70"/>
      <c r="R74" s="60"/>
      <c r="S74" s="68"/>
    </row>
    <row r="75" spans="2:19" x14ac:dyDescent="0.25">
      <c r="B75" s="70"/>
      <c r="C75" s="38"/>
      <c r="D75" s="68"/>
      <c r="G75" s="70"/>
      <c r="H75" s="38"/>
      <c r="I75" s="68"/>
      <c r="L75" s="70"/>
      <c r="M75" s="38"/>
      <c r="N75" s="68"/>
      <c r="O75" s="69"/>
      <c r="Q75" s="70"/>
      <c r="R75" s="38"/>
      <c r="S75" s="68"/>
    </row>
    <row r="76" spans="2:19" ht="15.75" thickBot="1" x14ac:dyDescent="0.3">
      <c r="B76" s="72"/>
      <c r="C76" s="73"/>
      <c r="D76" s="74"/>
      <c r="G76" s="72"/>
      <c r="H76" s="73"/>
      <c r="I76" s="74"/>
      <c r="L76" s="72"/>
      <c r="M76" s="73"/>
      <c r="N76" s="74"/>
      <c r="O76" s="69"/>
      <c r="Q76" s="72"/>
      <c r="R76" s="73"/>
      <c r="S76" s="74"/>
    </row>
    <row r="77" spans="2:19" x14ac:dyDescent="0.25">
      <c r="B77" s="75"/>
      <c r="C77" s="76"/>
      <c r="D77" s="77"/>
      <c r="G77" s="75"/>
      <c r="H77" s="76"/>
      <c r="I77" s="77"/>
      <c r="L77" s="75"/>
      <c r="M77" s="76"/>
      <c r="N77" s="77"/>
      <c r="O77" s="77"/>
      <c r="Q77" s="75"/>
      <c r="R77" s="76"/>
      <c r="S77" s="77"/>
    </row>
    <row r="79" spans="2:19" ht="15.75" thickBot="1" x14ac:dyDescent="0.3"/>
    <row r="80" spans="2:19" ht="25.5" customHeight="1" thickBot="1" x14ac:dyDescent="0.3">
      <c r="B80" s="131" t="s">
        <v>834</v>
      </c>
      <c r="C80" s="132"/>
      <c r="D80" s="133"/>
      <c r="G80" s="131" t="s">
        <v>834</v>
      </c>
      <c r="H80" s="132"/>
      <c r="I80" s="133"/>
      <c r="L80" s="131" t="s">
        <v>834</v>
      </c>
      <c r="M80" s="132"/>
      <c r="N80" s="133"/>
      <c r="O80" s="54"/>
      <c r="Q80" s="131" t="s">
        <v>834</v>
      </c>
      <c r="R80" s="132"/>
      <c r="S80" s="133"/>
    </row>
    <row r="81" spans="2:19" x14ac:dyDescent="0.25">
      <c r="B81" s="55"/>
      <c r="C81" s="56"/>
      <c r="D81" s="57"/>
      <c r="G81" s="55"/>
      <c r="H81" s="56"/>
      <c r="I81" s="57"/>
      <c r="L81" s="55"/>
      <c r="M81" s="56"/>
      <c r="N81" s="57"/>
      <c r="O81" s="78"/>
      <c r="Q81" s="55"/>
      <c r="R81" s="56"/>
      <c r="S81" s="57"/>
    </row>
    <row r="82" spans="2:19" x14ac:dyDescent="0.25">
      <c r="B82" s="59"/>
      <c r="C82" s="60"/>
      <c r="D82" s="61"/>
      <c r="G82" s="59"/>
      <c r="H82" s="60"/>
      <c r="I82" s="61"/>
      <c r="L82" s="59"/>
      <c r="M82" s="60"/>
      <c r="N82" s="61"/>
      <c r="O82" s="62"/>
      <c r="Q82" s="59"/>
      <c r="R82" s="60"/>
      <c r="S82" s="61"/>
    </row>
    <row r="83" spans="2:19" x14ac:dyDescent="0.25">
      <c r="B83" s="59"/>
      <c r="C83" s="63"/>
      <c r="D83" s="61"/>
      <c r="G83" s="59"/>
      <c r="H83" s="63"/>
      <c r="I83" s="61"/>
      <c r="L83" s="59"/>
      <c r="M83" s="63"/>
      <c r="N83" s="61"/>
      <c r="O83" s="62"/>
      <c r="Q83" s="59"/>
      <c r="R83" s="63"/>
      <c r="S83" s="61"/>
    </row>
    <row r="84" spans="2:19" x14ac:dyDescent="0.25">
      <c r="B84" s="59"/>
      <c r="C84" s="64"/>
      <c r="D84" s="61"/>
      <c r="G84" s="59"/>
      <c r="H84" s="64"/>
      <c r="I84" s="61"/>
      <c r="L84" s="59"/>
      <c r="M84" s="64"/>
      <c r="N84" s="61"/>
      <c r="O84" s="62"/>
      <c r="Q84" s="59"/>
      <c r="R84" s="64"/>
      <c r="S84" s="61"/>
    </row>
    <row r="85" spans="2:19" x14ac:dyDescent="0.25">
      <c r="B85" s="59"/>
      <c r="C85" s="65"/>
      <c r="D85" s="61"/>
      <c r="G85" s="59"/>
      <c r="H85" s="65"/>
      <c r="I85" s="61"/>
      <c r="L85" s="59"/>
      <c r="M85" s="65"/>
      <c r="N85" s="61"/>
      <c r="O85" s="62"/>
      <c r="Q85" s="59"/>
      <c r="R85" s="65"/>
      <c r="S85" s="61"/>
    </row>
    <row r="86" spans="2:19" x14ac:dyDescent="0.25">
      <c r="B86" s="59"/>
      <c r="C86" s="66"/>
      <c r="D86" s="61"/>
      <c r="G86" s="59"/>
      <c r="H86" s="66"/>
      <c r="I86" s="61"/>
      <c r="L86" s="59"/>
      <c r="M86" s="66"/>
      <c r="N86" s="61"/>
      <c r="O86" s="62"/>
      <c r="Q86" s="59"/>
      <c r="R86" s="66"/>
      <c r="S86" s="61"/>
    </row>
    <row r="87" spans="2:19" x14ac:dyDescent="0.25">
      <c r="B87" s="59"/>
      <c r="C87" s="65"/>
      <c r="D87" s="61"/>
      <c r="G87" s="59"/>
      <c r="H87" s="65"/>
      <c r="I87" s="61"/>
      <c r="L87" s="59"/>
      <c r="M87" s="65"/>
      <c r="N87" s="61"/>
      <c r="O87" s="62"/>
      <c r="Q87" s="59"/>
      <c r="R87" s="65"/>
      <c r="S87" s="61"/>
    </row>
    <row r="88" spans="2:19" x14ac:dyDescent="0.25">
      <c r="B88" s="59"/>
      <c r="C88" s="67"/>
      <c r="D88" s="61"/>
      <c r="G88" s="59"/>
      <c r="H88" s="67"/>
      <c r="I88" s="61"/>
      <c r="L88" s="59"/>
      <c r="M88" s="67"/>
      <c r="N88" s="61"/>
      <c r="O88" s="62"/>
      <c r="Q88" s="59"/>
      <c r="R88" s="67"/>
      <c r="S88" s="61"/>
    </row>
    <row r="89" spans="2:19" x14ac:dyDescent="0.25">
      <c r="B89" s="59"/>
      <c r="C89" s="63"/>
      <c r="D89" s="61"/>
      <c r="G89" s="59"/>
      <c r="H89" s="63"/>
      <c r="I89" s="61"/>
      <c r="L89" s="59"/>
      <c r="M89" s="63"/>
      <c r="N89" s="61"/>
      <c r="O89" s="62"/>
      <c r="Q89" s="59"/>
      <c r="R89" s="63"/>
      <c r="S89" s="61"/>
    </row>
    <row r="90" spans="2:19" x14ac:dyDescent="0.25">
      <c r="B90" s="59"/>
      <c r="C90" s="65"/>
      <c r="D90" s="61"/>
      <c r="G90" s="59"/>
      <c r="H90" s="65"/>
      <c r="I90" s="61"/>
      <c r="L90" s="59"/>
      <c r="M90" s="65"/>
      <c r="N90" s="61"/>
      <c r="O90" s="62"/>
      <c r="Q90" s="59"/>
      <c r="R90" s="65"/>
      <c r="S90" s="61"/>
    </row>
    <row r="91" spans="2:19" x14ac:dyDescent="0.25">
      <c r="B91" s="59"/>
      <c r="C91" s="63"/>
      <c r="D91" s="61"/>
      <c r="G91" s="59"/>
      <c r="H91" s="63"/>
      <c r="I91" s="61"/>
      <c r="L91" s="59"/>
      <c r="M91" s="63"/>
      <c r="N91" s="61"/>
      <c r="O91" s="62"/>
      <c r="Q91" s="59"/>
      <c r="R91" s="63"/>
      <c r="S91" s="61"/>
    </row>
    <row r="92" spans="2:19" x14ac:dyDescent="0.25">
      <c r="B92" s="59"/>
      <c r="C92" s="63"/>
      <c r="D92" s="68"/>
      <c r="G92" s="59"/>
      <c r="H92" s="63"/>
      <c r="I92" s="68"/>
      <c r="L92" s="59"/>
      <c r="M92" s="63"/>
      <c r="N92" s="68"/>
      <c r="O92" s="69"/>
      <c r="Q92" s="59"/>
      <c r="R92" s="63"/>
      <c r="S92" s="68"/>
    </row>
    <row r="93" spans="2:19" x14ac:dyDescent="0.25">
      <c r="B93" s="59"/>
      <c r="C93" s="63"/>
      <c r="D93" s="61"/>
      <c r="G93" s="59"/>
      <c r="H93" s="63"/>
      <c r="I93" s="61"/>
      <c r="L93" s="59"/>
      <c r="M93" s="63"/>
      <c r="N93" s="61"/>
      <c r="O93" s="62"/>
      <c r="Q93" s="59"/>
      <c r="R93" s="63"/>
      <c r="S93" s="61"/>
    </row>
    <row r="94" spans="2:19" x14ac:dyDescent="0.25">
      <c r="B94" s="59"/>
      <c r="C94" s="63"/>
      <c r="D94" s="61"/>
      <c r="G94" s="59"/>
      <c r="H94" s="63"/>
      <c r="I94" s="61"/>
      <c r="L94" s="59"/>
      <c r="M94" s="63"/>
      <c r="N94" s="61"/>
      <c r="O94" s="62"/>
      <c r="Q94" s="59"/>
      <c r="R94" s="63"/>
      <c r="S94" s="61"/>
    </row>
    <row r="95" spans="2:19" x14ac:dyDescent="0.25">
      <c r="B95" s="59"/>
      <c r="C95" s="66"/>
      <c r="D95" s="61"/>
      <c r="G95" s="59"/>
      <c r="H95" s="66"/>
      <c r="I95" s="61"/>
      <c r="L95" s="59"/>
      <c r="M95" s="66"/>
      <c r="N95" s="61"/>
      <c r="O95" s="62"/>
      <c r="Q95" s="59"/>
      <c r="R95" s="66"/>
      <c r="S95" s="61"/>
    </row>
    <row r="96" spans="2:19" x14ac:dyDescent="0.25">
      <c r="B96" s="59"/>
      <c r="C96" s="63"/>
      <c r="D96" s="61"/>
      <c r="G96" s="59"/>
      <c r="H96" s="63"/>
      <c r="I96" s="61"/>
      <c r="L96" s="59"/>
      <c r="M96" s="63"/>
      <c r="N96" s="61"/>
      <c r="O96" s="62"/>
      <c r="Q96" s="59"/>
      <c r="R96" s="63"/>
      <c r="S96" s="61"/>
    </row>
    <row r="97" spans="2:19" x14ac:dyDescent="0.25">
      <c r="B97" s="59"/>
      <c r="C97" s="63"/>
      <c r="D97" s="68"/>
      <c r="G97" s="59"/>
      <c r="H97" s="63"/>
      <c r="I97" s="68"/>
      <c r="L97" s="59"/>
      <c r="M97" s="63"/>
      <c r="N97" s="68"/>
      <c r="O97" s="69"/>
      <c r="Q97" s="59"/>
      <c r="R97" s="63"/>
      <c r="S97" s="68"/>
    </row>
    <row r="98" spans="2:19" x14ac:dyDescent="0.25">
      <c r="B98" s="59"/>
      <c r="C98" s="63"/>
      <c r="D98" s="68"/>
      <c r="G98" s="59"/>
      <c r="H98" s="63"/>
      <c r="I98" s="68"/>
      <c r="L98" s="59"/>
      <c r="M98" s="63"/>
      <c r="N98" s="68"/>
      <c r="O98" s="62"/>
      <c r="Q98" s="59"/>
      <c r="R98" s="63"/>
      <c r="S98" s="68"/>
    </row>
    <row r="99" spans="2:19" x14ac:dyDescent="0.25">
      <c r="B99" s="70"/>
      <c r="C99" s="71"/>
      <c r="D99" s="61"/>
      <c r="G99" s="70"/>
      <c r="H99" s="71"/>
      <c r="I99" s="61"/>
      <c r="L99" s="70"/>
      <c r="M99" s="71"/>
      <c r="N99" s="61"/>
      <c r="O99" s="62"/>
      <c r="Q99" s="70"/>
      <c r="R99" s="71"/>
      <c r="S99" s="61"/>
    </row>
    <row r="100" spans="2:19" x14ac:dyDescent="0.25">
      <c r="B100" s="70"/>
      <c r="C100" s="60"/>
      <c r="D100" s="68"/>
      <c r="G100" s="70"/>
      <c r="H100" s="60"/>
      <c r="I100" s="68"/>
      <c r="L100" s="70"/>
      <c r="M100" s="60"/>
      <c r="N100" s="68"/>
      <c r="O100" s="69"/>
      <c r="Q100" s="70"/>
      <c r="R100" s="60"/>
      <c r="S100" s="68"/>
    </row>
    <row r="101" spans="2:19" x14ac:dyDescent="0.25">
      <c r="B101" s="70"/>
      <c r="C101" s="38"/>
      <c r="D101" s="68"/>
      <c r="G101" s="70"/>
      <c r="H101" s="38"/>
      <c r="I101" s="68"/>
      <c r="L101" s="70"/>
      <c r="M101" s="38"/>
      <c r="N101" s="68"/>
      <c r="O101" s="69"/>
      <c r="Q101" s="70"/>
      <c r="R101" s="38"/>
      <c r="S101" s="68"/>
    </row>
    <row r="102" spans="2:19" ht="15.75" thickBot="1" x14ac:dyDescent="0.3">
      <c r="B102" s="72"/>
      <c r="C102" s="73"/>
      <c r="D102" s="74"/>
      <c r="G102" s="72"/>
      <c r="H102" s="73"/>
      <c r="I102" s="74"/>
      <c r="L102" s="72"/>
      <c r="M102" s="73"/>
      <c r="N102" s="74"/>
      <c r="O102" s="69"/>
      <c r="Q102" s="72"/>
      <c r="R102" s="73"/>
      <c r="S102" s="74"/>
    </row>
    <row r="105" spans="2:19" ht="15.75" thickBot="1" x14ac:dyDescent="0.3"/>
    <row r="106" spans="2:19" ht="25.5" customHeight="1" thickBot="1" x14ac:dyDescent="0.3">
      <c r="B106" s="131" t="s">
        <v>834</v>
      </c>
      <c r="C106" s="132"/>
      <c r="D106" s="133"/>
      <c r="G106" s="131" t="s">
        <v>834</v>
      </c>
      <c r="H106" s="132"/>
      <c r="I106" s="133"/>
      <c r="L106" s="131" t="s">
        <v>834</v>
      </c>
      <c r="M106" s="132"/>
      <c r="N106" s="133"/>
      <c r="O106" s="54"/>
      <c r="Q106" s="131" t="s">
        <v>834</v>
      </c>
      <c r="R106" s="132"/>
      <c r="S106" s="133"/>
    </row>
    <row r="107" spans="2:19" x14ac:dyDescent="0.25">
      <c r="B107" s="55"/>
      <c r="C107" s="56"/>
      <c r="D107" s="57"/>
      <c r="G107" s="55"/>
      <c r="H107" s="56"/>
      <c r="I107" s="57"/>
      <c r="L107" s="55"/>
      <c r="M107" s="56"/>
      <c r="N107" s="57"/>
      <c r="O107" s="58"/>
      <c r="Q107" s="55"/>
      <c r="R107" s="56"/>
      <c r="S107" s="57"/>
    </row>
    <row r="108" spans="2:19" x14ac:dyDescent="0.25">
      <c r="B108" s="59"/>
      <c r="C108" s="60"/>
      <c r="D108" s="61"/>
      <c r="G108" s="59"/>
      <c r="H108" s="60"/>
      <c r="I108" s="61"/>
      <c r="L108" s="59"/>
      <c r="M108" s="60"/>
      <c r="N108" s="61"/>
      <c r="O108" s="62"/>
      <c r="Q108" s="59"/>
      <c r="R108" s="60"/>
      <c r="S108" s="61"/>
    </row>
    <row r="109" spans="2:19" x14ac:dyDescent="0.25">
      <c r="B109" s="59"/>
      <c r="C109" s="63"/>
      <c r="D109" s="61"/>
      <c r="G109" s="59"/>
      <c r="H109" s="63"/>
      <c r="I109" s="61"/>
      <c r="L109" s="59"/>
      <c r="M109" s="63"/>
      <c r="N109" s="61"/>
      <c r="O109" s="62"/>
      <c r="Q109" s="59"/>
      <c r="R109" s="63"/>
      <c r="S109" s="61"/>
    </row>
    <row r="110" spans="2:19" x14ac:dyDescent="0.25">
      <c r="B110" s="59"/>
      <c r="C110" s="64"/>
      <c r="D110" s="61"/>
      <c r="G110" s="59"/>
      <c r="H110" s="64"/>
      <c r="I110" s="61"/>
      <c r="L110" s="59"/>
      <c r="M110" s="64"/>
      <c r="N110" s="61"/>
      <c r="O110" s="62"/>
      <c r="Q110" s="59"/>
      <c r="R110" s="64"/>
      <c r="S110" s="61"/>
    </row>
    <row r="111" spans="2:19" x14ac:dyDescent="0.25">
      <c r="B111" s="59"/>
      <c r="C111" s="65"/>
      <c r="D111" s="61"/>
      <c r="G111" s="59"/>
      <c r="H111" s="65"/>
      <c r="I111" s="61"/>
      <c r="L111" s="59"/>
      <c r="M111" s="65"/>
      <c r="N111" s="61"/>
      <c r="O111" s="62"/>
      <c r="Q111" s="59"/>
      <c r="R111" s="65"/>
      <c r="S111" s="61"/>
    </row>
    <row r="112" spans="2:19" x14ac:dyDescent="0.25">
      <c r="B112" s="59"/>
      <c r="C112" s="66"/>
      <c r="D112" s="61"/>
      <c r="G112" s="59"/>
      <c r="H112" s="66"/>
      <c r="I112" s="61"/>
      <c r="L112" s="59"/>
      <c r="M112" s="66"/>
      <c r="N112" s="61"/>
      <c r="O112" s="62"/>
      <c r="Q112" s="59"/>
      <c r="R112" s="66"/>
      <c r="S112" s="61"/>
    </row>
    <row r="113" spans="2:19" x14ac:dyDescent="0.25">
      <c r="B113" s="59"/>
      <c r="C113" s="65"/>
      <c r="D113" s="61"/>
      <c r="G113" s="59"/>
      <c r="H113" s="65"/>
      <c r="I113" s="61"/>
      <c r="L113" s="59"/>
      <c r="M113" s="65"/>
      <c r="N113" s="61"/>
      <c r="O113" s="62"/>
      <c r="Q113" s="59"/>
      <c r="R113" s="65"/>
      <c r="S113" s="61"/>
    </row>
    <row r="114" spans="2:19" x14ac:dyDescent="0.25">
      <c r="B114" s="59"/>
      <c r="C114" s="67"/>
      <c r="D114" s="61"/>
      <c r="G114" s="59"/>
      <c r="H114" s="67"/>
      <c r="I114" s="61"/>
      <c r="L114" s="59"/>
      <c r="M114" s="67"/>
      <c r="N114" s="61"/>
      <c r="O114" s="62"/>
      <c r="Q114" s="59"/>
      <c r="R114" s="67"/>
      <c r="S114" s="61"/>
    </row>
    <row r="115" spans="2:19" x14ac:dyDescent="0.25">
      <c r="B115" s="59"/>
      <c r="C115" s="63"/>
      <c r="D115" s="61"/>
      <c r="G115" s="59"/>
      <c r="H115" s="63"/>
      <c r="I115" s="61"/>
      <c r="L115" s="59"/>
      <c r="M115" s="63"/>
      <c r="N115" s="61"/>
      <c r="O115" s="62"/>
      <c r="Q115" s="59"/>
      <c r="R115" s="63"/>
      <c r="S115" s="61"/>
    </row>
    <row r="116" spans="2:19" x14ac:dyDescent="0.25">
      <c r="B116" s="59"/>
      <c r="C116" s="65"/>
      <c r="D116" s="61"/>
      <c r="G116" s="59"/>
      <c r="H116" s="65"/>
      <c r="I116" s="61"/>
      <c r="L116" s="59"/>
      <c r="M116" s="65"/>
      <c r="N116" s="61"/>
      <c r="O116" s="62"/>
      <c r="Q116" s="59"/>
      <c r="R116" s="65"/>
      <c r="S116" s="61"/>
    </row>
    <row r="117" spans="2:19" x14ac:dyDescent="0.25">
      <c r="B117" s="59"/>
      <c r="C117" s="63"/>
      <c r="D117" s="61"/>
      <c r="G117" s="59"/>
      <c r="H117" s="63"/>
      <c r="I117" s="61"/>
      <c r="L117" s="59"/>
      <c r="M117" s="63"/>
      <c r="N117" s="61"/>
      <c r="O117" s="62"/>
      <c r="Q117" s="59"/>
      <c r="R117" s="63"/>
      <c r="S117" s="61"/>
    </row>
    <row r="118" spans="2:19" x14ac:dyDescent="0.25">
      <c r="B118" s="59"/>
      <c r="C118" s="63"/>
      <c r="D118" s="68"/>
      <c r="G118" s="59"/>
      <c r="H118" s="63"/>
      <c r="I118" s="68"/>
      <c r="L118" s="59"/>
      <c r="M118" s="63"/>
      <c r="N118" s="68"/>
      <c r="O118" s="69"/>
      <c r="Q118" s="59"/>
      <c r="R118" s="63"/>
      <c r="S118" s="68"/>
    </row>
    <row r="119" spans="2:19" x14ac:dyDescent="0.25">
      <c r="B119" s="59"/>
      <c r="C119" s="63"/>
      <c r="D119" s="61"/>
      <c r="G119" s="59"/>
      <c r="H119" s="63"/>
      <c r="I119" s="61"/>
      <c r="L119" s="59"/>
      <c r="M119" s="63"/>
      <c r="N119" s="61"/>
      <c r="O119" s="62"/>
      <c r="Q119" s="59"/>
      <c r="R119" s="63"/>
      <c r="S119" s="61"/>
    </row>
    <row r="120" spans="2:19" x14ac:dyDescent="0.25">
      <c r="B120" s="59"/>
      <c r="C120" s="63"/>
      <c r="D120" s="61"/>
      <c r="G120" s="59"/>
      <c r="H120" s="63"/>
      <c r="I120" s="61"/>
      <c r="L120" s="59"/>
      <c r="M120" s="63"/>
      <c r="N120" s="61"/>
      <c r="O120" s="62"/>
      <c r="Q120" s="59"/>
      <c r="R120" s="63"/>
      <c r="S120" s="61"/>
    </row>
    <row r="121" spans="2:19" x14ac:dyDescent="0.25">
      <c r="B121" s="59"/>
      <c r="C121" s="66"/>
      <c r="D121" s="61"/>
      <c r="G121" s="59"/>
      <c r="H121" s="66"/>
      <c r="I121" s="61"/>
      <c r="L121" s="59"/>
      <c r="M121" s="66"/>
      <c r="N121" s="61"/>
      <c r="O121" s="62"/>
      <c r="Q121" s="59"/>
      <c r="R121" s="66"/>
      <c r="S121" s="61"/>
    </row>
    <row r="122" spans="2:19" x14ac:dyDescent="0.25">
      <c r="B122" s="59"/>
      <c r="C122" s="63"/>
      <c r="D122" s="61"/>
      <c r="G122" s="59"/>
      <c r="H122" s="63"/>
      <c r="I122" s="61"/>
      <c r="L122" s="59"/>
      <c r="M122" s="63"/>
      <c r="N122" s="61"/>
      <c r="O122" s="62"/>
      <c r="Q122" s="59"/>
      <c r="R122" s="63"/>
      <c r="S122" s="61"/>
    </row>
    <row r="123" spans="2:19" x14ac:dyDescent="0.25">
      <c r="B123" s="59"/>
      <c r="C123" s="63"/>
      <c r="D123" s="68"/>
      <c r="G123" s="59"/>
      <c r="H123" s="63"/>
      <c r="I123" s="68"/>
      <c r="L123" s="59"/>
      <c r="M123" s="63"/>
      <c r="N123" s="68"/>
      <c r="O123" s="69"/>
      <c r="Q123" s="59"/>
      <c r="R123" s="63"/>
      <c r="S123" s="68"/>
    </row>
    <row r="124" spans="2:19" x14ac:dyDescent="0.25">
      <c r="B124" s="59"/>
      <c r="C124" s="63"/>
      <c r="D124" s="68"/>
      <c r="G124" s="59"/>
      <c r="H124" s="63"/>
      <c r="I124" s="68"/>
      <c r="L124" s="59"/>
      <c r="M124" s="63"/>
      <c r="N124" s="68"/>
      <c r="O124" s="69"/>
      <c r="Q124" s="59"/>
      <c r="R124" s="63"/>
      <c r="S124" s="68"/>
    </row>
    <row r="125" spans="2:19" x14ac:dyDescent="0.25">
      <c r="B125" s="70"/>
      <c r="C125" s="71"/>
      <c r="D125" s="61"/>
      <c r="G125" s="70"/>
      <c r="H125" s="71"/>
      <c r="I125" s="61"/>
      <c r="L125" s="70"/>
      <c r="M125" s="71"/>
      <c r="N125" s="61"/>
      <c r="O125" s="62"/>
      <c r="Q125" s="70"/>
      <c r="R125" s="71"/>
      <c r="S125" s="61"/>
    </row>
    <row r="126" spans="2:19" x14ac:dyDescent="0.25">
      <c r="B126" s="70"/>
      <c r="C126" s="60"/>
      <c r="D126" s="68"/>
      <c r="G126" s="70"/>
      <c r="H126" s="60"/>
      <c r="I126" s="68"/>
      <c r="L126" s="70"/>
      <c r="M126" s="60"/>
      <c r="N126" s="68"/>
      <c r="O126" s="69"/>
      <c r="Q126" s="70"/>
      <c r="R126" s="60"/>
      <c r="S126" s="68"/>
    </row>
    <row r="127" spans="2:19" x14ac:dyDescent="0.25">
      <c r="B127" s="70"/>
      <c r="C127" s="38"/>
      <c r="D127" s="68"/>
      <c r="G127" s="70"/>
      <c r="H127" s="38"/>
      <c r="I127" s="68"/>
      <c r="L127" s="70"/>
      <c r="M127" s="38"/>
      <c r="N127" s="68"/>
      <c r="O127" s="69"/>
      <c r="Q127" s="70"/>
      <c r="R127" s="38"/>
      <c r="S127" s="68"/>
    </row>
    <row r="128" spans="2:19" ht="15.75" thickBot="1" x14ac:dyDescent="0.3">
      <c r="B128" s="72"/>
      <c r="C128" s="73"/>
      <c r="D128" s="74"/>
      <c r="G128" s="72"/>
      <c r="H128" s="73"/>
      <c r="I128" s="74"/>
      <c r="L128" s="72"/>
      <c r="M128" s="73"/>
      <c r="N128" s="74"/>
      <c r="O128" s="69"/>
      <c r="Q128" s="72"/>
      <c r="R128" s="73"/>
      <c r="S128" s="74"/>
    </row>
    <row r="129" spans="2:19" x14ac:dyDescent="0.25">
      <c r="B129" s="75"/>
      <c r="C129" s="76"/>
      <c r="D129" s="77"/>
      <c r="G129" s="75"/>
      <c r="H129" s="76"/>
      <c r="I129" s="77"/>
      <c r="L129" s="75"/>
      <c r="M129" s="76"/>
      <c r="N129" s="77"/>
      <c r="O129" s="77"/>
      <c r="Q129" s="75"/>
      <c r="R129" s="76"/>
      <c r="S129" s="77"/>
    </row>
    <row r="131" spans="2:19" ht="15.75" thickBot="1" x14ac:dyDescent="0.3"/>
    <row r="132" spans="2:19" ht="25.5" customHeight="1" thickBot="1" x14ac:dyDescent="0.3">
      <c r="B132" s="131" t="s">
        <v>834</v>
      </c>
      <c r="C132" s="132"/>
      <c r="D132" s="133"/>
      <c r="G132" s="131" t="s">
        <v>834</v>
      </c>
      <c r="H132" s="132"/>
      <c r="I132" s="133"/>
      <c r="L132" s="131" t="s">
        <v>834</v>
      </c>
      <c r="M132" s="132"/>
      <c r="N132" s="133"/>
      <c r="O132" s="54"/>
      <c r="Q132" s="131" t="s">
        <v>834</v>
      </c>
      <c r="R132" s="132"/>
      <c r="S132" s="133"/>
    </row>
    <row r="133" spans="2:19" x14ac:dyDescent="0.25">
      <c r="B133" s="55"/>
      <c r="C133" s="56"/>
      <c r="D133" s="57"/>
      <c r="G133" s="55"/>
      <c r="H133" s="56"/>
      <c r="I133" s="57"/>
      <c r="L133" s="55"/>
      <c r="M133" s="56"/>
      <c r="N133" s="57"/>
      <c r="O133" s="78"/>
      <c r="Q133" s="55"/>
      <c r="R133" s="56"/>
      <c r="S133" s="57"/>
    </row>
    <row r="134" spans="2:19" x14ac:dyDescent="0.25">
      <c r="B134" s="59"/>
      <c r="C134" s="60"/>
      <c r="D134" s="61"/>
      <c r="G134" s="59"/>
      <c r="H134" s="60"/>
      <c r="I134" s="61"/>
      <c r="L134" s="59"/>
      <c r="M134" s="60"/>
      <c r="N134" s="61"/>
      <c r="O134" s="62"/>
      <c r="Q134" s="59"/>
      <c r="R134" s="60"/>
      <c r="S134" s="61"/>
    </row>
    <row r="135" spans="2:19" x14ac:dyDescent="0.25">
      <c r="B135" s="59"/>
      <c r="C135" s="63"/>
      <c r="D135" s="61"/>
      <c r="G135" s="59"/>
      <c r="H135" s="63"/>
      <c r="I135" s="61"/>
      <c r="L135" s="59"/>
      <c r="M135" s="63"/>
      <c r="N135" s="61"/>
      <c r="O135" s="62"/>
      <c r="Q135" s="59"/>
      <c r="R135" s="63"/>
      <c r="S135" s="61"/>
    </row>
    <row r="136" spans="2:19" x14ac:dyDescent="0.25">
      <c r="B136" s="59"/>
      <c r="C136" s="64"/>
      <c r="D136" s="61"/>
      <c r="G136" s="59"/>
      <c r="H136" s="64"/>
      <c r="I136" s="61"/>
      <c r="L136" s="59"/>
      <c r="M136" s="64"/>
      <c r="N136" s="61"/>
      <c r="O136" s="62"/>
      <c r="Q136" s="59"/>
      <c r="R136" s="64"/>
      <c r="S136" s="61"/>
    </row>
    <row r="137" spans="2:19" x14ac:dyDescent="0.25">
      <c r="B137" s="59"/>
      <c r="C137" s="65"/>
      <c r="D137" s="61"/>
      <c r="G137" s="59"/>
      <c r="H137" s="65"/>
      <c r="I137" s="61"/>
      <c r="L137" s="59"/>
      <c r="M137" s="65"/>
      <c r="N137" s="61"/>
      <c r="O137" s="62"/>
      <c r="Q137" s="59"/>
      <c r="R137" s="65"/>
      <c r="S137" s="61"/>
    </row>
    <row r="138" spans="2:19" x14ac:dyDescent="0.25">
      <c r="B138" s="59"/>
      <c r="C138" s="66"/>
      <c r="D138" s="61"/>
      <c r="G138" s="59"/>
      <c r="H138" s="66"/>
      <c r="I138" s="61"/>
      <c r="L138" s="59"/>
      <c r="M138" s="66"/>
      <c r="N138" s="61"/>
      <c r="O138" s="62"/>
      <c r="Q138" s="59"/>
      <c r="R138" s="66"/>
      <c r="S138" s="61"/>
    </row>
    <row r="139" spans="2:19" x14ac:dyDescent="0.25">
      <c r="B139" s="59"/>
      <c r="C139" s="65"/>
      <c r="D139" s="61"/>
      <c r="G139" s="59"/>
      <c r="H139" s="65"/>
      <c r="I139" s="61"/>
      <c r="L139" s="59"/>
      <c r="M139" s="65"/>
      <c r="N139" s="61"/>
      <c r="O139" s="62"/>
      <c r="Q139" s="59"/>
      <c r="R139" s="65"/>
      <c r="S139" s="61"/>
    </row>
    <row r="140" spans="2:19" x14ac:dyDescent="0.25">
      <c r="B140" s="59"/>
      <c r="C140" s="67"/>
      <c r="D140" s="61"/>
      <c r="G140" s="59"/>
      <c r="H140" s="67"/>
      <c r="I140" s="61"/>
      <c r="L140" s="59"/>
      <c r="M140" s="67"/>
      <c r="N140" s="61"/>
      <c r="O140" s="62"/>
      <c r="Q140" s="59"/>
      <c r="R140" s="67"/>
      <c r="S140" s="61"/>
    </row>
    <row r="141" spans="2:19" x14ac:dyDescent="0.25">
      <c r="B141" s="59"/>
      <c r="C141" s="63"/>
      <c r="D141" s="61"/>
      <c r="G141" s="59"/>
      <c r="H141" s="63"/>
      <c r="I141" s="61"/>
      <c r="L141" s="59"/>
      <c r="M141" s="63"/>
      <c r="N141" s="61"/>
      <c r="O141" s="62"/>
      <c r="Q141" s="59"/>
      <c r="R141" s="63"/>
      <c r="S141" s="61"/>
    </row>
    <row r="142" spans="2:19" x14ac:dyDescent="0.25">
      <c r="B142" s="59"/>
      <c r="C142" s="65"/>
      <c r="D142" s="61"/>
      <c r="G142" s="59"/>
      <c r="H142" s="65"/>
      <c r="I142" s="61"/>
      <c r="L142" s="59"/>
      <c r="M142" s="65"/>
      <c r="N142" s="61"/>
      <c r="O142" s="62"/>
      <c r="Q142" s="59"/>
      <c r="R142" s="65"/>
      <c r="S142" s="61"/>
    </row>
    <row r="143" spans="2:19" x14ac:dyDescent="0.25">
      <c r="B143" s="59"/>
      <c r="C143" s="63"/>
      <c r="D143" s="61"/>
      <c r="G143" s="59"/>
      <c r="H143" s="63"/>
      <c r="I143" s="61"/>
      <c r="L143" s="59"/>
      <c r="M143" s="63"/>
      <c r="N143" s="61"/>
      <c r="O143" s="62"/>
      <c r="Q143" s="59"/>
      <c r="R143" s="63"/>
      <c r="S143" s="61"/>
    </row>
    <row r="144" spans="2:19" x14ac:dyDescent="0.25">
      <c r="B144" s="59"/>
      <c r="C144" s="63"/>
      <c r="D144" s="68"/>
      <c r="G144" s="59"/>
      <c r="H144" s="63"/>
      <c r="I144" s="68"/>
      <c r="L144" s="59"/>
      <c r="M144" s="63"/>
      <c r="N144" s="68"/>
      <c r="O144" s="69"/>
      <c r="Q144" s="59"/>
      <c r="R144" s="63"/>
      <c r="S144" s="68"/>
    </row>
    <row r="145" spans="2:19" x14ac:dyDescent="0.25">
      <c r="B145" s="59"/>
      <c r="C145" s="63"/>
      <c r="D145" s="61"/>
      <c r="G145" s="59"/>
      <c r="H145" s="63"/>
      <c r="I145" s="61"/>
      <c r="L145" s="59"/>
      <c r="M145" s="63"/>
      <c r="N145" s="61"/>
      <c r="O145" s="62"/>
      <c r="Q145" s="59"/>
      <c r="R145" s="63"/>
      <c r="S145" s="61"/>
    </row>
    <row r="146" spans="2:19" x14ac:dyDescent="0.25">
      <c r="B146" s="59"/>
      <c r="C146" s="63"/>
      <c r="D146" s="61"/>
      <c r="G146" s="59"/>
      <c r="H146" s="63"/>
      <c r="I146" s="61"/>
      <c r="L146" s="59"/>
      <c r="M146" s="63"/>
      <c r="N146" s="61"/>
      <c r="O146" s="62"/>
      <c r="Q146" s="59"/>
      <c r="R146" s="63"/>
      <c r="S146" s="61"/>
    </row>
    <row r="147" spans="2:19" x14ac:dyDescent="0.25">
      <c r="B147" s="59"/>
      <c r="C147" s="66"/>
      <c r="D147" s="61"/>
      <c r="G147" s="59"/>
      <c r="H147" s="66"/>
      <c r="I147" s="61"/>
      <c r="L147" s="59"/>
      <c r="M147" s="66"/>
      <c r="N147" s="61"/>
      <c r="O147" s="62"/>
      <c r="Q147" s="59"/>
      <c r="R147" s="66"/>
      <c r="S147" s="61"/>
    </row>
    <row r="148" spans="2:19" x14ac:dyDescent="0.25">
      <c r="B148" s="59"/>
      <c r="C148" s="63"/>
      <c r="D148" s="61"/>
      <c r="G148" s="59"/>
      <c r="H148" s="63"/>
      <c r="I148" s="61"/>
      <c r="L148" s="59"/>
      <c r="M148" s="63"/>
      <c r="N148" s="61"/>
      <c r="O148" s="62"/>
      <c r="Q148" s="59"/>
      <c r="R148" s="63"/>
      <c r="S148" s="61"/>
    </row>
    <row r="149" spans="2:19" x14ac:dyDescent="0.25">
      <c r="B149" s="59"/>
      <c r="C149" s="63"/>
      <c r="D149" s="68"/>
      <c r="G149" s="59"/>
      <c r="H149" s="63"/>
      <c r="I149" s="68"/>
      <c r="L149" s="59"/>
      <c r="M149" s="63"/>
      <c r="N149" s="68"/>
      <c r="O149" s="69"/>
      <c r="Q149" s="59"/>
      <c r="R149" s="63"/>
      <c r="S149" s="68"/>
    </row>
    <row r="150" spans="2:19" x14ac:dyDescent="0.25">
      <c r="B150" s="59"/>
      <c r="C150" s="63"/>
      <c r="D150" s="68"/>
      <c r="G150" s="59"/>
      <c r="H150" s="63"/>
      <c r="I150" s="68"/>
      <c r="L150" s="59"/>
      <c r="M150" s="63"/>
      <c r="N150" s="68"/>
      <c r="O150" s="62"/>
      <c r="Q150" s="59"/>
      <c r="R150" s="63"/>
      <c r="S150" s="68"/>
    </row>
    <row r="151" spans="2:19" x14ac:dyDescent="0.25">
      <c r="B151" s="70"/>
      <c r="C151" s="71"/>
      <c r="D151" s="61"/>
      <c r="G151" s="70"/>
      <c r="H151" s="71"/>
      <c r="I151" s="61"/>
      <c r="L151" s="70"/>
      <c r="M151" s="71"/>
      <c r="N151" s="61"/>
      <c r="O151" s="62"/>
      <c r="Q151" s="70"/>
      <c r="R151" s="71"/>
      <c r="S151" s="61"/>
    </row>
    <row r="152" spans="2:19" x14ac:dyDescent="0.25">
      <c r="B152" s="70"/>
      <c r="C152" s="60"/>
      <c r="D152" s="68"/>
      <c r="G152" s="70"/>
      <c r="H152" s="60"/>
      <c r="I152" s="68"/>
      <c r="L152" s="70"/>
      <c r="M152" s="60"/>
      <c r="N152" s="68"/>
      <c r="O152" s="69"/>
      <c r="Q152" s="70"/>
      <c r="R152" s="60"/>
      <c r="S152" s="68"/>
    </row>
    <row r="153" spans="2:19" x14ac:dyDescent="0.25">
      <c r="B153" s="70"/>
      <c r="C153" s="38"/>
      <c r="D153" s="68"/>
      <c r="G153" s="70"/>
      <c r="H153" s="38"/>
      <c r="I153" s="68"/>
      <c r="L153" s="70"/>
      <c r="M153" s="38"/>
      <c r="N153" s="68"/>
      <c r="O153" s="69"/>
      <c r="Q153" s="70"/>
      <c r="R153" s="38"/>
      <c r="S153" s="68"/>
    </row>
    <row r="154" spans="2:19" ht="15.75" thickBot="1" x14ac:dyDescent="0.3">
      <c r="B154" s="72"/>
      <c r="C154" s="73"/>
      <c r="D154" s="74"/>
      <c r="G154" s="72"/>
      <c r="H154" s="73"/>
      <c r="I154" s="74"/>
      <c r="L154" s="72"/>
      <c r="M154" s="73"/>
      <c r="N154" s="74"/>
      <c r="O154" s="69"/>
      <c r="Q154" s="72"/>
      <c r="R154" s="73"/>
      <c r="S154" s="74"/>
    </row>
    <row r="157" spans="2:19" ht="15.75" thickBot="1" x14ac:dyDescent="0.3"/>
    <row r="158" spans="2:19" ht="25.5" customHeight="1" thickBot="1" x14ac:dyDescent="0.3">
      <c r="B158" s="131" t="s">
        <v>834</v>
      </c>
      <c r="C158" s="132"/>
      <c r="D158" s="133"/>
      <c r="G158" s="131" t="s">
        <v>834</v>
      </c>
      <c r="H158" s="132"/>
      <c r="I158" s="133"/>
      <c r="L158" s="131" t="s">
        <v>834</v>
      </c>
      <c r="M158" s="132"/>
      <c r="N158" s="133"/>
      <c r="O158" s="54"/>
      <c r="Q158" s="131" t="s">
        <v>834</v>
      </c>
      <c r="R158" s="132"/>
      <c r="S158" s="133"/>
    </row>
    <row r="159" spans="2:19" x14ac:dyDescent="0.25">
      <c r="B159" s="55"/>
      <c r="C159" s="56"/>
      <c r="D159" s="57"/>
      <c r="G159" s="55"/>
      <c r="H159" s="56"/>
      <c r="I159" s="57"/>
      <c r="L159" s="55"/>
      <c r="M159" s="56"/>
      <c r="N159" s="57"/>
      <c r="O159" s="58"/>
      <c r="Q159" s="55"/>
      <c r="R159" s="56"/>
      <c r="S159" s="57"/>
    </row>
    <row r="160" spans="2:19" x14ac:dyDescent="0.25">
      <c r="B160" s="59"/>
      <c r="C160" s="60"/>
      <c r="D160" s="61"/>
      <c r="G160" s="59"/>
      <c r="H160" s="60"/>
      <c r="I160" s="61"/>
      <c r="L160" s="59"/>
      <c r="M160" s="60"/>
      <c r="N160" s="61"/>
      <c r="O160" s="62"/>
      <c r="Q160" s="59"/>
      <c r="R160" s="60"/>
      <c r="S160" s="61"/>
    </row>
    <row r="161" spans="2:19" x14ac:dyDescent="0.25">
      <c r="B161" s="59"/>
      <c r="C161" s="63"/>
      <c r="D161" s="61"/>
      <c r="G161" s="59"/>
      <c r="H161" s="63"/>
      <c r="I161" s="61"/>
      <c r="L161" s="59"/>
      <c r="M161" s="63"/>
      <c r="N161" s="61"/>
      <c r="O161" s="62"/>
      <c r="Q161" s="59"/>
      <c r="R161" s="63"/>
      <c r="S161" s="61"/>
    </row>
    <row r="162" spans="2:19" x14ac:dyDescent="0.25">
      <c r="B162" s="59"/>
      <c r="C162" s="64"/>
      <c r="D162" s="61"/>
      <c r="G162" s="59"/>
      <c r="H162" s="64"/>
      <c r="I162" s="61"/>
      <c r="L162" s="59"/>
      <c r="M162" s="64"/>
      <c r="N162" s="61"/>
      <c r="O162" s="62"/>
      <c r="Q162" s="59"/>
      <c r="R162" s="64"/>
      <c r="S162" s="61"/>
    </row>
    <row r="163" spans="2:19" x14ac:dyDescent="0.25">
      <c r="B163" s="59"/>
      <c r="C163" s="65"/>
      <c r="D163" s="61"/>
      <c r="G163" s="59"/>
      <c r="H163" s="65"/>
      <c r="I163" s="61"/>
      <c r="L163" s="59"/>
      <c r="M163" s="65"/>
      <c r="N163" s="61"/>
      <c r="O163" s="62"/>
      <c r="Q163" s="59"/>
      <c r="R163" s="65"/>
      <c r="S163" s="61"/>
    </row>
    <row r="164" spans="2:19" x14ac:dyDescent="0.25">
      <c r="B164" s="59"/>
      <c r="C164" s="66"/>
      <c r="D164" s="61"/>
      <c r="G164" s="59"/>
      <c r="H164" s="66"/>
      <c r="I164" s="61"/>
      <c r="L164" s="59"/>
      <c r="M164" s="66"/>
      <c r="N164" s="61"/>
      <c r="O164" s="62"/>
      <c r="Q164" s="59"/>
      <c r="R164" s="66"/>
      <c r="S164" s="61"/>
    </row>
    <row r="165" spans="2:19" x14ac:dyDescent="0.25">
      <c r="B165" s="59"/>
      <c r="C165" s="65"/>
      <c r="D165" s="61"/>
      <c r="G165" s="59"/>
      <c r="H165" s="65"/>
      <c r="I165" s="61"/>
      <c r="L165" s="59"/>
      <c r="M165" s="65"/>
      <c r="N165" s="61"/>
      <c r="O165" s="62"/>
      <c r="Q165" s="59"/>
      <c r="R165" s="65"/>
      <c r="S165" s="61"/>
    </row>
    <row r="166" spans="2:19" x14ac:dyDescent="0.25">
      <c r="B166" s="59"/>
      <c r="C166" s="67"/>
      <c r="D166" s="61"/>
      <c r="G166" s="59"/>
      <c r="H166" s="67"/>
      <c r="I166" s="61"/>
      <c r="L166" s="59"/>
      <c r="M166" s="67"/>
      <c r="N166" s="61"/>
      <c r="O166" s="62"/>
      <c r="Q166" s="59"/>
      <c r="R166" s="67"/>
      <c r="S166" s="61"/>
    </row>
    <row r="167" spans="2:19" x14ac:dyDescent="0.25">
      <c r="B167" s="59"/>
      <c r="C167" s="63"/>
      <c r="D167" s="61"/>
      <c r="G167" s="59"/>
      <c r="H167" s="63"/>
      <c r="I167" s="61"/>
      <c r="L167" s="59"/>
      <c r="M167" s="63"/>
      <c r="N167" s="61"/>
      <c r="O167" s="62"/>
      <c r="Q167" s="59"/>
      <c r="R167" s="63"/>
      <c r="S167" s="61"/>
    </row>
    <row r="168" spans="2:19" x14ac:dyDescent="0.25">
      <c r="B168" s="59"/>
      <c r="C168" s="65"/>
      <c r="D168" s="61"/>
      <c r="G168" s="59"/>
      <c r="H168" s="65"/>
      <c r="I168" s="61"/>
      <c r="L168" s="59"/>
      <c r="M168" s="65"/>
      <c r="N168" s="61"/>
      <c r="O168" s="62"/>
      <c r="Q168" s="59"/>
      <c r="R168" s="65"/>
      <c r="S168" s="61"/>
    </row>
    <row r="169" spans="2:19" x14ac:dyDescent="0.25">
      <c r="B169" s="59"/>
      <c r="C169" s="63"/>
      <c r="D169" s="61"/>
      <c r="G169" s="59"/>
      <c r="H169" s="63"/>
      <c r="I169" s="61"/>
      <c r="L169" s="59"/>
      <c r="M169" s="63"/>
      <c r="N169" s="61"/>
      <c r="O169" s="62"/>
      <c r="Q169" s="59"/>
      <c r="R169" s="63"/>
      <c r="S169" s="61"/>
    </row>
    <row r="170" spans="2:19" x14ac:dyDescent="0.25">
      <c r="B170" s="59"/>
      <c r="C170" s="63"/>
      <c r="D170" s="68"/>
      <c r="G170" s="59"/>
      <c r="H170" s="63"/>
      <c r="I170" s="68"/>
      <c r="L170" s="59"/>
      <c r="M170" s="63"/>
      <c r="N170" s="68"/>
      <c r="O170" s="69"/>
      <c r="Q170" s="59"/>
      <c r="R170" s="63"/>
      <c r="S170" s="68"/>
    </row>
    <row r="171" spans="2:19" x14ac:dyDescent="0.25">
      <c r="B171" s="59"/>
      <c r="C171" s="63"/>
      <c r="D171" s="61"/>
      <c r="G171" s="59"/>
      <c r="H171" s="63"/>
      <c r="I171" s="61"/>
      <c r="L171" s="59"/>
      <c r="M171" s="63"/>
      <c r="N171" s="61"/>
      <c r="O171" s="62"/>
      <c r="Q171" s="59"/>
      <c r="R171" s="63"/>
      <c r="S171" s="61"/>
    </row>
    <row r="172" spans="2:19" x14ac:dyDescent="0.25">
      <c r="B172" s="59"/>
      <c r="C172" s="63"/>
      <c r="D172" s="61"/>
      <c r="G172" s="59"/>
      <c r="H172" s="63"/>
      <c r="I172" s="61"/>
      <c r="L172" s="59"/>
      <c r="M172" s="63"/>
      <c r="N172" s="61"/>
      <c r="O172" s="62"/>
      <c r="Q172" s="59"/>
      <c r="R172" s="63"/>
      <c r="S172" s="61"/>
    </row>
    <row r="173" spans="2:19" x14ac:dyDescent="0.25">
      <c r="B173" s="59"/>
      <c r="C173" s="66"/>
      <c r="D173" s="61"/>
      <c r="G173" s="59"/>
      <c r="H173" s="66"/>
      <c r="I173" s="61"/>
      <c r="L173" s="59"/>
      <c r="M173" s="66"/>
      <c r="N173" s="61"/>
      <c r="O173" s="62"/>
      <c r="Q173" s="59"/>
      <c r="R173" s="66"/>
      <c r="S173" s="61"/>
    </row>
    <row r="174" spans="2:19" x14ac:dyDescent="0.25">
      <c r="B174" s="59"/>
      <c r="C174" s="63"/>
      <c r="D174" s="61"/>
      <c r="G174" s="59"/>
      <c r="H174" s="63"/>
      <c r="I174" s="61"/>
      <c r="L174" s="59"/>
      <c r="M174" s="63"/>
      <c r="N174" s="61"/>
      <c r="O174" s="62"/>
      <c r="Q174" s="59"/>
      <c r="R174" s="63"/>
      <c r="S174" s="61"/>
    </row>
    <row r="175" spans="2:19" x14ac:dyDescent="0.25">
      <c r="B175" s="59"/>
      <c r="C175" s="63"/>
      <c r="D175" s="68"/>
      <c r="G175" s="59"/>
      <c r="H175" s="63"/>
      <c r="I175" s="68"/>
      <c r="L175" s="59"/>
      <c r="M175" s="63"/>
      <c r="N175" s="68"/>
      <c r="O175" s="69"/>
      <c r="Q175" s="59"/>
      <c r="R175" s="63"/>
      <c r="S175" s="68"/>
    </row>
    <row r="176" spans="2:19" x14ac:dyDescent="0.25">
      <c r="B176" s="59"/>
      <c r="C176" s="63"/>
      <c r="D176" s="68"/>
      <c r="G176" s="59"/>
      <c r="H176" s="63"/>
      <c r="I176" s="68"/>
      <c r="L176" s="59"/>
      <c r="M176" s="63"/>
      <c r="N176" s="68"/>
      <c r="O176" s="69"/>
      <c r="Q176" s="59"/>
      <c r="R176" s="63"/>
      <c r="S176" s="68"/>
    </row>
    <row r="177" spans="2:19" x14ac:dyDescent="0.25">
      <c r="B177" s="70"/>
      <c r="C177" s="71"/>
      <c r="D177" s="61"/>
      <c r="G177" s="70"/>
      <c r="H177" s="71"/>
      <c r="I177" s="61"/>
      <c r="L177" s="70"/>
      <c r="M177" s="71"/>
      <c r="N177" s="61"/>
      <c r="O177" s="62"/>
      <c r="Q177" s="70"/>
      <c r="R177" s="71"/>
      <c r="S177" s="61"/>
    </row>
    <row r="178" spans="2:19" x14ac:dyDescent="0.25">
      <c r="B178" s="70"/>
      <c r="C178" s="60"/>
      <c r="D178" s="68"/>
      <c r="G178" s="70"/>
      <c r="H178" s="60"/>
      <c r="I178" s="68"/>
      <c r="L178" s="70"/>
      <c r="M178" s="60"/>
      <c r="N178" s="68"/>
      <c r="O178" s="69"/>
      <c r="Q178" s="70"/>
      <c r="R178" s="60"/>
      <c r="S178" s="68"/>
    </row>
    <row r="179" spans="2:19" x14ac:dyDescent="0.25">
      <c r="B179" s="70"/>
      <c r="C179" s="38"/>
      <c r="D179" s="68"/>
      <c r="G179" s="70"/>
      <c r="H179" s="38"/>
      <c r="I179" s="68"/>
      <c r="L179" s="70"/>
      <c r="M179" s="38"/>
      <c r="N179" s="68"/>
      <c r="O179" s="69"/>
      <c r="Q179" s="70"/>
      <c r="R179" s="38"/>
      <c r="S179" s="68"/>
    </row>
    <row r="180" spans="2:19" ht="15.75" thickBot="1" x14ac:dyDescent="0.3">
      <c r="B180" s="72"/>
      <c r="C180" s="73"/>
      <c r="D180" s="74"/>
      <c r="G180" s="72"/>
      <c r="H180" s="73"/>
      <c r="I180" s="74"/>
      <c r="L180" s="72"/>
      <c r="M180" s="73"/>
      <c r="N180" s="74"/>
      <c r="O180" s="69"/>
      <c r="Q180" s="72"/>
      <c r="R180" s="73"/>
      <c r="S180" s="74"/>
    </row>
    <row r="181" spans="2:19" x14ac:dyDescent="0.25">
      <c r="B181" s="75"/>
      <c r="C181" s="76"/>
      <c r="D181" s="77"/>
      <c r="G181" s="75"/>
      <c r="H181" s="76"/>
      <c r="I181" s="77"/>
      <c r="L181" s="75"/>
      <c r="M181" s="76"/>
      <c r="N181" s="77"/>
      <c r="O181" s="77"/>
      <c r="Q181" s="75"/>
      <c r="R181" s="76"/>
      <c r="S181" s="77"/>
    </row>
    <row r="183" spans="2:19" ht="15.75" thickBot="1" x14ac:dyDescent="0.3"/>
    <row r="184" spans="2:19" ht="25.5" customHeight="1" thickBot="1" x14ac:dyDescent="0.3">
      <c r="B184" s="131" t="s">
        <v>834</v>
      </c>
      <c r="C184" s="132"/>
      <c r="D184" s="133"/>
      <c r="G184" s="131" t="s">
        <v>834</v>
      </c>
      <c r="H184" s="132"/>
      <c r="I184" s="133"/>
      <c r="L184" s="131" t="s">
        <v>834</v>
      </c>
      <c r="M184" s="132"/>
      <c r="N184" s="133"/>
      <c r="O184" s="54"/>
      <c r="Q184" s="131" t="s">
        <v>834</v>
      </c>
      <c r="R184" s="132"/>
      <c r="S184" s="133"/>
    </row>
    <row r="185" spans="2:19" x14ac:dyDescent="0.25">
      <c r="B185" s="55"/>
      <c r="C185" s="56"/>
      <c r="D185" s="57"/>
      <c r="G185" s="55"/>
      <c r="H185" s="56"/>
      <c r="I185" s="57"/>
      <c r="L185" s="55"/>
      <c r="M185" s="56"/>
      <c r="N185" s="57"/>
      <c r="O185" s="78"/>
      <c r="Q185" s="55"/>
      <c r="R185" s="56"/>
      <c r="S185" s="57"/>
    </row>
    <row r="186" spans="2:19" x14ac:dyDescent="0.25">
      <c r="B186" s="59"/>
      <c r="C186" s="60"/>
      <c r="D186" s="61"/>
      <c r="G186" s="59"/>
      <c r="H186" s="60"/>
      <c r="I186" s="61"/>
      <c r="L186" s="59"/>
      <c r="M186" s="60"/>
      <c r="N186" s="61"/>
      <c r="O186" s="62"/>
      <c r="Q186" s="59"/>
      <c r="R186" s="60"/>
      <c r="S186" s="61"/>
    </row>
    <row r="187" spans="2:19" x14ac:dyDescent="0.25">
      <c r="B187" s="59"/>
      <c r="C187" s="63"/>
      <c r="D187" s="61"/>
      <c r="G187" s="59"/>
      <c r="H187" s="63"/>
      <c r="I187" s="61"/>
      <c r="L187" s="59"/>
      <c r="M187" s="63"/>
      <c r="N187" s="61"/>
      <c r="O187" s="62"/>
      <c r="Q187" s="59"/>
      <c r="R187" s="63"/>
      <c r="S187" s="61"/>
    </row>
    <row r="188" spans="2:19" x14ac:dyDescent="0.25">
      <c r="B188" s="59"/>
      <c r="C188" s="64"/>
      <c r="D188" s="61"/>
      <c r="G188" s="59"/>
      <c r="H188" s="64"/>
      <c r="I188" s="61"/>
      <c r="L188" s="59"/>
      <c r="M188" s="64"/>
      <c r="N188" s="61"/>
      <c r="O188" s="62"/>
      <c r="Q188" s="59"/>
      <c r="R188" s="64"/>
      <c r="S188" s="61"/>
    </row>
    <row r="189" spans="2:19" x14ac:dyDescent="0.25">
      <c r="B189" s="59"/>
      <c r="C189" s="65"/>
      <c r="D189" s="61"/>
      <c r="G189" s="59"/>
      <c r="H189" s="65"/>
      <c r="I189" s="61"/>
      <c r="L189" s="59"/>
      <c r="M189" s="65"/>
      <c r="N189" s="61"/>
      <c r="O189" s="62"/>
      <c r="Q189" s="59"/>
      <c r="R189" s="65"/>
      <c r="S189" s="61"/>
    </row>
    <row r="190" spans="2:19" x14ac:dyDescent="0.25">
      <c r="B190" s="59"/>
      <c r="C190" s="66"/>
      <c r="D190" s="61"/>
      <c r="G190" s="59"/>
      <c r="H190" s="66"/>
      <c r="I190" s="61"/>
      <c r="L190" s="59"/>
      <c r="M190" s="66"/>
      <c r="N190" s="61"/>
      <c r="O190" s="62"/>
      <c r="Q190" s="59"/>
      <c r="R190" s="66"/>
      <c r="S190" s="61"/>
    </row>
    <row r="191" spans="2:19" x14ac:dyDescent="0.25">
      <c r="B191" s="59"/>
      <c r="C191" s="65"/>
      <c r="D191" s="61"/>
      <c r="G191" s="59"/>
      <c r="H191" s="65"/>
      <c r="I191" s="61"/>
      <c r="L191" s="59"/>
      <c r="M191" s="65"/>
      <c r="N191" s="61"/>
      <c r="O191" s="62"/>
      <c r="Q191" s="59"/>
      <c r="R191" s="65"/>
      <c r="S191" s="61"/>
    </row>
    <row r="192" spans="2:19" x14ac:dyDescent="0.25">
      <c r="B192" s="59"/>
      <c r="C192" s="67"/>
      <c r="D192" s="61"/>
      <c r="G192" s="59"/>
      <c r="H192" s="67"/>
      <c r="I192" s="61"/>
      <c r="L192" s="59"/>
      <c r="M192" s="67"/>
      <c r="N192" s="61"/>
      <c r="O192" s="62"/>
      <c r="Q192" s="59"/>
      <c r="R192" s="67"/>
      <c r="S192" s="61"/>
    </row>
    <row r="193" spans="2:19" x14ac:dyDescent="0.25">
      <c r="B193" s="59"/>
      <c r="C193" s="63"/>
      <c r="D193" s="61"/>
      <c r="G193" s="59"/>
      <c r="H193" s="63"/>
      <c r="I193" s="61"/>
      <c r="L193" s="59"/>
      <c r="M193" s="63"/>
      <c r="N193" s="61"/>
      <c r="O193" s="62"/>
      <c r="Q193" s="59"/>
      <c r="R193" s="63"/>
      <c r="S193" s="61"/>
    </row>
    <row r="194" spans="2:19" x14ac:dyDescent="0.25">
      <c r="B194" s="59"/>
      <c r="C194" s="65"/>
      <c r="D194" s="61"/>
      <c r="G194" s="59"/>
      <c r="H194" s="65"/>
      <c r="I194" s="61"/>
      <c r="L194" s="59"/>
      <c r="M194" s="65"/>
      <c r="N194" s="61"/>
      <c r="O194" s="62"/>
      <c r="Q194" s="59"/>
      <c r="R194" s="65"/>
      <c r="S194" s="61"/>
    </row>
    <row r="195" spans="2:19" x14ac:dyDescent="0.25">
      <c r="B195" s="59"/>
      <c r="C195" s="63"/>
      <c r="D195" s="61"/>
      <c r="G195" s="59"/>
      <c r="H195" s="63"/>
      <c r="I195" s="61"/>
      <c r="L195" s="59"/>
      <c r="M195" s="63"/>
      <c r="N195" s="61"/>
      <c r="O195" s="62"/>
      <c r="Q195" s="59"/>
      <c r="R195" s="63"/>
      <c r="S195" s="61"/>
    </row>
    <row r="196" spans="2:19" x14ac:dyDescent="0.25">
      <c r="B196" s="59"/>
      <c r="C196" s="63"/>
      <c r="D196" s="68"/>
      <c r="G196" s="59"/>
      <c r="H196" s="63"/>
      <c r="I196" s="68"/>
      <c r="L196" s="59"/>
      <c r="M196" s="63"/>
      <c r="N196" s="68"/>
      <c r="O196" s="69"/>
      <c r="Q196" s="59"/>
      <c r="R196" s="63"/>
      <c r="S196" s="68"/>
    </row>
    <row r="197" spans="2:19" x14ac:dyDescent="0.25">
      <c r="B197" s="59"/>
      <c r="C197" s="63"/>
      <c r="D197" s="61"/>
      <c r="G197" s="59"/>
      <c r="H197" s="63"/>
      <c r="I197" s="61"/>
      <c r="L197" s="59"/>
      <c r="M197" s="63"/>
      <c r="N197" s="61"/>
      <c r="O197" s="62"/>
      <c r="Q197" s="59"/>
      <c r="R197" s="63"/>
      <c r="S197" s="61"/>
    </row>
    <row r="198" spans="2:19" x14ac:dyDescent="0.25">
      <c r="B198" s="59"/>
      <c r="C198" s="63"/>
      <c r="D198" s="61"/>
      <c r="G198" s="59"/>
      <c r="H198" s="63"/>
      <c r="I198" s="61"/>
      <c r="L198" s="59"/>
      <c r="M198" s="63"/>
      <c r="N198" s="61"/>
      <c r="O198" s="62"/>
      <c r="Q198" s="59"/>
      <c r="R198" s="63"/>
      <c r="S198" s="61"/>
    </row>
    <row r="199" spans="2:19" x14ac:dyDescent="0.25">
      <c r="B199" s="59"/>
      <c r="C199" s="66"/>
      <c r="D199" s="61"/>
      <c r="G199" s="59"/>
      <c r="H199" s="66"/>
      <c r="I199" s="61"/>
      <c r="L199" s="59"/>
      <c r="M199" s="66"/>
      <c r="N199" s="61"/>
      <c r="O199" s="62"/>
      <c r="Q199" s="59"/>
      <c r="R199" s="66"/>
      <c r="S199" s="61"/>
    </row>
    <row r="200" spans="2:19" x14ac:dyDescent="0.25">
      <c r="B200" s="59"/>
      <c r="C200" s="63"/>
      <c r="D200" s="61"/>
      <c r="G200" s="59"/>
      <c r="H200" s="63"/>
      <c r="I200" s="61"/>
      <c r="L200" s="59"/>
      <c r="M200" s="63"/>
      <c r="N200" s="61"/>
      <c r="O200" s="62"/>
      <c r="Q200" s="59"/>
      <c r="R200" s="63"/>
      <c r="S200" s="61"/>
    </row>
    <row r="201" spans="2:19" x14ac:dyDescent="0.25">
      <c r="B201" s="59"/>
      <c r="C201" s="63"/>
      <c r="D201" s="68"/>
      <c r="G201" s="59"/>
      <c r="H201" s="63"/>
      <c r="I201" s="68"/>
      <c r="L201" s="59"/>
      <c r="M201" s="63"/>
      <c r="N201" s="68"/>
      <c r="O201" s="69"/>
      <c r="Q201" s="59"/>
      <c r="R201" s="63"/>
      <c r="S201" s="68"/>
    </row>
    <row r="202" spans="2:19" x14ac:dyDescent="0.25">
      <c r="B202" s="59"/>
      <c r="C202" s="63"/>
      <c r="D202" s="68"/>
      <c r="G202" s="59"/>
      <c r="H202" s="63"/>
      <c r="I202" s="68"/>
      <c r="L202" s="59"/>
      <c r="M202" s="63"/>
      <c r="N202" s="68"/>
      <c r="O202" s="62"/>
      <c r="Q202" s="59"/>
      <c r="R202" s="63"/>
      <c r="S202" s="68"/>
    </row>
    <row r="203" spans="2:19" x14ac:dyDescent="0.25">
      <c r="B203" s="70"/>
      <c r="C203" s="71"/>
      <c r="D203" s="61"/>
      <c r="G203" s="70"/>
      <c r="H203" s="71"/>
      <c r="I203" s="61"/>
      <c r="L203" s="70"/>
      <c r="M203" s="71"/>
      <c r="N203" s="61"/>
      <c r="O203" s="62"/>
      <c r="Q203" s="70"/>
      <c r="R203" s="71"/>
      <c r="S203" s="61"/>
    </row>
    <row r="204" spans="2:19" x14ac:dyDescent="0.25">
      <c r="B204" s="70"/>
      <c r="C204" s="60"/>
      <c r="D204" s="68"/>
      <c r="G204" s="70"/>
      <c r="H204" s="60"/>
      <c r="I204" s="68"/>
      <c r="L204" s="70"/>
      <c r="M204" s="60"/>
      <c r="N204" s="68"/>
      <c r="O204" s="69"/>
      <c r="Q204" s="70"/>
      <c r="R204" s="60"/>
      <c r="S204" s="68"/>
    </row>
    <row r="205" spans="2:19" x14ac:dyDescent="0.25">
      <c r="B205" s="70"/>
      <c r="C205" s="38"/>
      <c r="D205" s="68"/>
      <c r="G205" s="70"/>
      <c r="H205" s="38"/>
      <c r="I205" s="68"/>
      <c r="L205" s="70"/>
      <c r="M205" s="38"/>
      <c r="N205" s="68"/>
      <c r="O205" s="69"/>
      <c r="Q205" s="70"/>
      <c r="R205" s="38"/>
      <c r="S205" s="68"/>
    </row>
    <row r="206" spans="2:19" ht="15.75" thickBot="1" x14ac:dyDescent="0.3">
      <c r="B206" s="72"/>
      <c r="C206" s="73"/>
      <c r="D206" s="74"/>
      <c r="G206" s="72"/>
      <c r="H206" s="73"/>
      <c r="I206" s="74"/>
      <c r="L206" s="72"/>
      <c r="M206" s="73"/>
      <c r="N206" s="74"/>
      <c r="O206" s="69"/>
      <c r="Q206" s="72"/>
      <c r="R206" s="73"/>
      <c r="S206" s="74"/>
    </row>
    <row r="209" spans="2:19" ht="15.75" thickBot="1" x14ac:dyDescent="0.3"/>
    <row r="210" spans="2:19" ht="25.5" customHeight="1" thickBot="1" x14ac:dyDescent="0.3">
      <c r="B210" s="131" t="s">
        <v>834</v>
      </c>
      <c r="C210" s="132"/>
      <c r="D210" s="133"/>
      <c r="G210" s="131" t="s">
        <v>834</v>
      </c>
      <c r="H210" s="132"/>
      <c r="I210" s="133"/>
      <c r="L210" s="131" t="s">
        <v>834</v>
      </c>
      <c r="M210" s="132"/>
      <c r="N210" s="133"/>
      <c r="O210" s="54"/>
      <c r="Q210" s="131" t="s">
        <v>834</v>
      </c>
      <c r="R210" s="132"/>
      <c r="S210" s="133"/>
    </row>
    <row r="211" spans="2:19" x14ac:dyDescent="0.25">
      <c r="B211" s="55"/>
      <c r="C211" s="56"/>
      <c r="D211" s="57"/>
      <c r="G211" s="55"/>
      <c r="H211" s="56"/>
      <c r="I211" s="57"/>
      <c r="L211" s="55"/>
      <c r="M211" s="56"/>
      <c r="N211" s="57"/>
      <c r="O211" s="58"/>
      <c r="Q211" s="55"/>
      <c r="R211" s="56"/>
      <c r="S211" s="57"/>
    </row>
    <row r="212" spans="2:19" x14ac:dyDescent="0.25">
      <c r="B212" s="59"/>
      <c r="C212" s="60"/>
      <c r="D212" s="61"/>
      <c r="G212" s="59"/>
      <c r="H212" s="60"/>
      <c r="I212" s="61"/>
      <c r="L212" s="59"/>
      <c r="M212" s="60"/>
      <c r="N212" s="61"/>
      <c r="O212" s="62"/>
      <c r="Q212" s="59"/>
      <c r="R212" s="60"/>
      <c r="S212" s="61"/>
    </row>
    <row r="213" spans="2:19" x14ac:dyDescent="0.25">
      <c r="B213" s="59"/>
      <c r="C213" s="63"/>
      <c r="D213" s="61"/>
      <c r="G213" s="59"/>
      <c r="H213" s="63"/>
      <c r="I213" s="61"/>
      <c r="L213" s="59"/>
      <c r="M213" s="63"/>
      <c r="N213" s="61"/>
      <c r="O213" s="62"/>
      <c r="Q213" s="59"/>
      <c r="R213" s="63"/>
      <c r="S213" s="61"/>
    </row>
    <row r="214" spans="2:19" x14ac:dyDescent="0.25">
      <c r="B214" s="59"/>
      <c r="C214" s="64"/>
      <c r="D214" s="61"/>
      <c r="G214" s="59"/>
      <c r="H214" s="64"/>
      <c r="I214" s="61"/>
      <c r="L214" s="59"/>
      <c r="M214" s="64"/>
      <c r="N214" s="61"/>
      <c r="O214" s="62"/>
      <c r="Q214" s="59"/>
      <c r="R214" s="64"/>
      <c r="S214" s="61"/>
    </row>
    <row r="215" spans="2:19" x14ac:dyDescent="0.25">
      <c r="B215" s="59"/>
      <c r="C215" s="65"/>
      <c r="D215" s="61"/>
      <c r="G215" s="59"/>
      <c r="H215" s="65"/>
      <c r="I215" s="61"/>
      <c r="L215" s="59"/>
      <c r="M215" s="65"/>
      <c r="N215" s="61"/>
      <c r="O215" s="62"/>
      <c r="Q215" s="59"/>
      <c r="R215" s="65"/>
      <c r="S215" s="61"/>
    </row>
    <row r="216" spans="2:19" x14ac:dyDescent="0.25">
      <c r="B216" s="59"/>
      <c r="C216" s="66"/>
      <c r="D216" s="61"/>
      <c r="G216" s="59"/>
      <c r="H216" s="66"/>
      <c r="I216" s="61"/>
      <c r="L216" s="59"/>
      <c r="M216" s="66"/>
      <c r="N216" s="61"/>
      <c r="O216" s="62"/>
      <c r="Q216" s="59"/>
      <c r="R216" s="66"/>
      <c r="S216" s="61"/>
    </row>
    <row r="217" spans="2:19" x14ac:dyDescent="0.25">
      <c r="B217" s="59"/>
      <c r="C217" s="65"/>
      <c r="D217" s="61"/>
      <c r="G217" s="59"/>
      <c r="H217" s="65"/>
      <c r="I217" s="61"/>
      <c r="L217" s="59"/>
      <c r="M217" s="65"/>
      <c r="N217" s="61"/>
      <c r="O217" s="62"/>
      <c r="Q217" s="59"/>
      <c r="R217" s="65"/>
      <c r="S217" s="61"/>
    </row>
    <row r="218" spans="2:19" x14ac:dyDescent="0.25">
      <c r="B218" s="59"/>
      <c r="C218" s="67"/>
      <c r="D218" s="61"/>
      <c r="G218" s="59"/>
      <c r="H218" s="67"/>
      <c r="I218" s="61"/>
      <c r="L218" s="59"/>
      <c r="M218" s="67"/>
      <c r="N218" s="61"/>
      <c r="O218" s="62"/>
      <c r="Q218" s="59"/>
      <c r="R218" s="67"/>
      <c r="S218" s="61"/>
    </row>
    <row r="219" spans="2:19" x14ac:dyDescent="0.25">
      <c r="B219" s="59"/>
      <c r="C219" s="63"/>
      <c r="D219" s="61"/>
      <c r="G219" s="59"/>
      <c r="H219" s="63"/>
      <c r="I219" s="61"/>
      <c r="L219" s="59"/>
      <c r="M219" s="63"/>
      <c r="N219" s="61"/>
      <c r="O219" s="62"/>
      <c r="Q219" s="59"/>
      <c r="R219" s="63"/>
      <c r="S219" s="61"/>
    </row>
    <row r="220" spans="2:19" x14ac:dyDescent="0.25">
      <c r="B220" s="59"/>
      <c r="C220" s="65"/>
      <c r="D220" s="61"/>
      <c r="G220" s="59"/>
      <c r="H220" s="65"/>
      <c r="I220" s="61"/>
      <c r="L220" s="59"/>
      <c r="M220" s="65"/>
      <c r="N220" s="61"/>
      <c r="O220" s="62"/>
      <c r="Q220" s="59"/>
      <c r="R220" s="65"/>
      <c r="S220" s="61"/>
    </row>
    <row r="221" spans="2:19" x14ac:dyDescent="0.25">
      <c r="B221" s="59"/>
      <c r="C221" s="63"/>
      <c r="D221" s="61"/>
      <c r="G221" s="59"/>
      <c r="H221" s="63"/>
      <c r="I221" s="61"/>
      <c r="L221" s="59"/>
      <c r="M221" s="63"/>
      <c r="N221" s="61"/>
      <c r="O221" s="62"/>
      <c r="Q221" s="59"/>
      <c r="R221" s="63"/>
      <c r="S221" s="61"/>
    </row>
    <row r="222" spans="2:19" x14ac:dyDescent="0.25">
      <c r="B222" s="59"/>
      <c r="C222" s="63"/>
      <c r="D222" s="68"/>
      <c r="G222" s="59"/>
      <c r="H222" s="63"/>
      <c r="I222" s="68"/>
      <c r="L222" s="59"/>
      <c r="M222" s="63"/>
      <c r="N222" s="68"/>
      <c r="O222" s="69"/>
      <c r="Q222" s="59"/>
      <c r="R222" s="63"/>
      <c r="S222" s="68"/>
    </row>
    <row r="223" spans="2:19" x14ac:dyDescent="0.25">
      <c r="B223" s="59"/>
      <c r="C223" s="63"/>
      <c r="D223" s="61"/>
      <c r="G223" s="59"/>
      <c r="H223" s="63"/>
      <c r="I223" s="61"/>
      <c r="L223" s="59"/>
      <c r="M223" s="63"/>
      <c r="N223" s="61"/>
      <c r="O223" s="62"/>
      <c r="Q223" s="59"/>
      <c r="R223" s="63"/>
      <c r="S223" s="61"/>
    </row>
    <row r="224" spans="2:19" x14ac:dyDescent="0.25">
      <c r="B224" s="59"/>
      <c r="C224" s="63"/>
      <c r="D224" s="61"/>
      <c r="G224" s="59"/>
      <c r="H224" s="63"/>
      <c r="I224" s="61"/>
      <c r="L224" s="59"/>
      <c r="M224" s="63"/>
      <c r="N224" s="61"/>
      <c r="O224" s="62"/>
      <c r="Q224" s="59"/>
      <c r="R224" s="63"/>
      <c r="S224" s="61"/>
    </row>
    <row r="225" spans="2:19" x14ac:dyDescent="0.25">
      <c r="B225" s="59"/>
      <c r="C225" s="66"/>
      <c r="D225" s="61"/>
      <c r="G225" s="59"/>
      <c r="H225" s="66"/>
      <c r="I225" s="61"/>
      <c r="L225" s="59"/>
      <c r="M225" s="66"/>
      <c r="N225" s="61"/>
      <c r="O225" s="62"/>
      <c r="Q225" s="59"/>
      <c r="R225" s="66"/>
      <c r="S225" s="61"/>
    </row>
    <row r="226" spans="2:19" x14ac:dyDescent="0.25">
      <c r="B226" s="59"/>
      <c r="C226" s="63"/>
      <c r="D226" s="61"/>
      <c r="G226" s="59"/>
      <c r="H226" s="63"/>
      <c r="I226" s="61"/>
      <c r="L226" s="59"/>
      <c r="M226" s="63"/>
      <c r="N226" s="61"/>
      <c r="O226" s="62"/>
      <c r="Q226" s="59"/>
      <c r="R226" s="63"/>
      <c r="S226" s="61"/>
    </row>
    <row r="227" spans="2:19" x14ac:dyDescent="0.25">
      <c r="B227" s="59"/>
      <c r="C227" s="63"/>
      <c r="D227" s="68"/>
      <c r="G227" s="59"/>
      <c r="H227" s="63"/>
      <c r="I227" s="68"/>
      <c r="L227" s="59"/>
      <c r="M227" s="63"/>
      <c r="N227" s="68"/>
      <c r="O227" s="69"/>
      <c r="Q227" s="59"/>
      <c r="R227" s="63"/>
      <c r="S227" s="68"/>
    </row>
    <row r="228" spans="2:19" x14ac:dyDescent="0.25">
      <c r="B228" s="59"/>
      <c r="C228" s="63"/>
      <c r="D228" s="68"/>
      <c r="G228" s="59"/>
      <c r="H228" s="63"/>
      <c r="I228" s="68"/>
      <c r="L228" s="59"/>
      <c r="M228" s="63"/>
      <c r="N228" s="68"/>
      <c r="O228" s="69"/>
      <c r="Q228" s="59"/>
      <c r="R228" s="63"/>
      <c r="S228" s="68"/>
    </row>
    <row r="229" spans="2:19" x14ac:dyDescent="0.25">
      <c r="B229" s="70"/>
      <c r="C229" s="71"/>
      <c r="D229" s="61"/>
      <c r="G229" s="70"/>
      <c r="H229" s="71"/>
      <c r="I229" s="61"/>
      <c r="L229" s="70"/>
      <c r="M229" s="71"/>
      <c r="N229" s="61"/>
      <c r="O229" s="62"/>
      <c r="Q229" s="70"/>
      <c r="R229" s="71"/>
      <c r="S229" s="61"/>
    </row>
    <row r="230" spans="2:19" x14ac:dyDescent="0.25">
      <c r="B230" s="70"/>
      <c r="C230" s="60"/>
      <c r="D230" s="68"/>
      <c r="G230" s="70"/>
      <c r="H230" s="60"/>
      <c r="I230" s="68"/>
      <c r="L230" s="70"/>
      <c r="M230" s="60"/>
      <c r="N230" s="68"/>
      <c r="O230" s="69"/>
      <c r="Q230" s="70"/>
      <c r="R230" s="60"/>
      <c r="S230" s="68"/>
    </row>
    <row r="231" spans="2:19" x14ac:dyDescent="0.25">
      <c r="B231" s="70"/>
      <c r="C231" s="38"/>
      <c r="D231" s="68"/>
      <c r="G231" s="70"/>
      <c r="H231" s="38"/>
      <c r="I231" s="68"/>
      <c r="L231" s="70"/>
      <c r="M231" s="38"/>
      <c r="N231" s="68"/>
      <c r="O231" s="69"/>
      <c r="Q231" s="70"/>
      <c r="R231" s="38"/>
      <c r="S231" s="68"/>
    </row>
    <row r="232" spans="2:19" ht="15.75" thickBot="1" x14ac:dyDescent="0.3">
      <c r="B232" s="72"/>
      <c r="C232" s="73"/>
      <c r="D232" s="74"/>
      <c r="G232" s="72"/>
      <c r="H232" s="73"/>
      <c r="I232" s="74"/>
      <c r="L232" s="72"/>
      <c r="M232" s="73"/>
      <c r="N232" s="74"/>
      <c r="O232" s="69"/>
      <c r="Q232" s="72"/>
      <c r="R232" s="73"/>
      <c r="S232" s="74"/>
    </row>
    <row r="233" spans="2:19" x14ac:dyDescent="0.25">
      <c r="B233" s="75"/>
      <c r="C233" s="76"/>
      <c r="D233" s="77"/>
      <c r="G233" s="75"/>
      <c r="H233" s="76"/>
      <c r="I233" s="77"/>
      <c r="L233" s="75"/>
      <c r="M233" s="76"/>
      <c r="N233" s="77"/>
      <c r="O233" s="77"/>
      <c r="Q233" s="75"/>
      <c r="R233" s="76"/>
      <c r="S233" s="77"/>
    </row>
    <row r="235" spans="2:19" ht="15.75" thickBot="1" x14ac:dyDescent="0.3"/>
    <row r="236" spans="2:19" ht="25.5" customHeight="1" thickBot="1" x14ac:dyDescent="0.3">
      <c r="B236" s="131" t="s">
        <v>834</v>
      </c>
      <c r="C236" s="132"/>
      <c r="D236" s="133"/>
      <c r="G236" s="131" t="s">
        <v>834</v>
      </c>
      <c r="H236" s="132"/>
      <c r="I236" s="133"/>
      <c r="L236" s="131" t="s">
        <v>834</v>
      </c>
      <c r="M236" s="132"/>
      <c r="N236" s="133"/>
      <c r="O236" s="54"/>
      <c r="Q236" s="131" t="s">
        <v>834</v>
      </c>
      <c r="R236" s="132"/>
      <c r="S236" s="133"/>
    </row>
    <row r="237" spans="2:19" x14ac:dyDescent="0.25">
      <c r="B237" s="55"/>
      <c r="C237" s="56"/>
      <c r="D237" s="57"/>
      <c r="G237" s="55"/>
      <c r="H237" s="56"/>
      <c r="I237" s="57"/>
      <c r="L237" s="55"/>
      <c r="M237" s="56"/>
      <c r="N237" s="57"/>
      <c r="O237" s="78"/>
      <c r="Q237" s="55"/>
      <c r="R237" s="56"/>
      <c r="S237" s="57"/>
    </row>
    <row r="238" spans="2:19" x14ac:dyDescent="0.25">
      <c r="B238" s="59"/>
      <c r="C238" s="60"/>
      <c r="D238" s="61"/>
      <c r="G238" s="59"/>
      <c r="H238" s="60"/>
      <c r="I238" s="61"/>
      <c r="L238" s="59"/>
      <c r="M238" s="60"/>
      <c r="N238" s="61"/>
      <c r="O238" s="62"/>
      <c r="Q238" s="59"/>
      <c r="R238" s="60"/>
      <c r="S238" s="61"/>
    </row>
    <row r="239" spans="2:19" x14ac:dyDescent="0.25">
      <c r="B239" s="59"/>
      <c r="C239" s="63"/>
      <c r="D239" s="61"/>
      <c r="G239" s="59"/>
      <c r="H239" s="63"/>
      <c r="I239" s="61"/>
      <c r="L239" s="59"/>
      <c r="M239" s="63"/>
      <c r="N239" s="61"/>
      <c r="O239" s="62"/>
      <c r="Q239" s="59"/>
      <c r="R239" s="63"/>
      <c r="S239" s="61"/>
    </row>
    <row r="240" spans="2:19" x14ac:dyDescent="0.25">
      <c r="B240" s="59"/>
      <c r="C240" s="64"/>
      <c r="D240" s="61"/>
      <c r="G240" s="59"/>
      <c r="H240" s="64"/>
      <c r="I240" s="61"/>
      <c r="L240" s="59"/>
      <c r="M240" s="64"/>
      <c r="N240" s="61"/>
      <c r="O240" s="62"/>
      <c r="Q240" s="59"/>
      <c r="R240" s="64"/>
      <c r="S240" s="61"/>
    </row>
    <row r="241" spans="2:19" x14ac:dyDescent="0.25">
      <c r="B241" s="59"/>
      <c r="C241" s="65"/>
      <c r="D241" s="61"/>
      <c r="G241" s="59"/>
      <c r="H241" s="65"/>
      <c r="I241" s="61"/>
      <c r="L241" s="59"/>
      <c r="M241" s="65"/>
      <c r="N241" s="61"/>
      <c r="O241" s="62"/>
      <c r="Q241" s="59"/>
      <c r="R241" s="65"/>
      <c r="S241" s="61"/>
    </row>
    <row r="242" spans="2:19" x14ac:dyDescent="0.25">
      <c r="B242" s="59"/>
      <c r="C242" s="66"/>
      <c r="D242" s="61"/>
      <c r="G242" s="59"/>
      <c r="H242" s="66"/>
      <c r="I242" s="61"/>
      <c r="L242" s="59"/>
      <c r="M242" s="66"/>
      <c r="N242" s="61"/>
      <c r="O242" s="62"/>
      <c r="Q242" s="59"/>
      <c r="R242" s="66"/>
      <c r="S242" s="61"/>
    </row>
    <row r="243" spans="2:19" x14ac:dyDescent="0.25">
      <c r="B243" s="59"/>
      <c r="C243" s="65"/>
      <c r="D243" s="61"/>
      <c r="G243" s="59"/>
      <c r="H243" s="65"/>
      <c r="I243" s="61"/>
      <c r="L243" s="59"/>
      <c r="M243" s="65"/>
      <c r="N243" s="61"/>
      <c r="O243" s="62"/>
      <c r="Q243" s="59"/>
      <c r="R243" s="65"/>
      <c r="S243" s="61"/>
    </row>
    <row r="244" spans="2:19" x14ac:dyDescent="0.25">
      <c r="B244" s="59"/>
      <c r="C244" s="67"/>
      <c r="D244" s="61"/>
      <c r="G244" s="59"/>
      <c r="H244" s="67"/>
      <c r="I244" s="61"/>
      <c r="L244" s="59"/>
      <c r="M244" s="67"/>
      <c r="N244" s="61"/>
      <c r="O244" s="62"/>
      <c r="Q244" s="59"/>
      <c r="R244" s="67"/>
      <c r="S244" s="61"/>
    </row>
    <row r="245" spans="2:19" x14ac:dyDescent="0.25">
      <c r="B245" s="59"/>
      <c r="C245" s="63"/>
      <c r="D245" s="61"/>
      <c r="G245" s="59"/>
      <c r="H245" s="63"/>
      <c r="I245" s="61"/>
      <c r="L245" s="59"/>
      <c r="M245" s="63"/>
      <c r="N245" s="61"/>
      <c r="O245" s="62"/>
      <c r="Q245" s="59"/>
      <c r="R245" s="63"/>
      <c r="S245" s="61"/>
    </row>
    <row r="246" spans="2:19" x14ac:dyDescent="0.25">
      <c r="B246" s="59"/>
      <c r="C246" s="65"/>
      <c r="D246" s="61"/>
      <c r="G246" s="59"/>
      <c r="H246" s="65"/>
      <c r="I246" s="61"/>
      <c r="L246" s="59"/>
      <c r="M246" s="65"/>
      <c r="N246" s="61"/>
      <c r="O246" s="62"/>
      <c r="Q246" s="59"/>
      <c r="R246" s="65"/>
      <c r="S246" s="61"/>
    </row>
    <row r="247" spans="2:19" x14ac:dyDescent="0.25">
      <c r="B247" s="59"/>
      <c r="C247" s="63"/>
      <c r="D247" s="61"/>
      <c r="G247" s="59"/>
      <c r="H247" s="63"/>
      <c r="I247" s="61"/>
      <c r="L247" s="59"/>
      <c r="M247" s="63"/>
      <c r="N247" s="61"/>
      <c r="O247" s="62"/>
      <c r="Q247" s="59"/>
      <c r="R247" s="63"/>
      <c r="S247" s="61"/>
    </row>
    <row r="248" spans="2:19" x14ac:dyDescent="0.25">
      <c r="B248" s="59"/>
      <c r="C248" s="63"/>
      <c r="D248" s="68"/>
      <c r="G248" s="59"/>
      <c r="H248" s="63"/>
      <c r="I248" s="68"/>
      <c r="L248" s="59"/>
      <c r="M248" s="63"/>
      <c r="N248" s="68"/>
      <c r="O248" s="69"/>
      <c r="Q248" s="59"/>
      <c r="R248" s="63"/>
      <c r="S248" s="68"/>
    </row>
    <row r="249" spans="2:19" x14ac:dyDescent="0.25">
      <c r="B249" s="59"/>
      <c r="C249" s="63"/>
      <c r="D249" s="61"/>
      <c r="G249" s="59"/>
      <c r="H249" s="63"/>
      <c r="I249" s="61"/>
      <c r="L249" s="59"/>
      <c r="M249" s="63"/>
      <c r="N249" s="61"/>
      <c r="O249" s="62"/>
      <c r="Q249" s="59"/>
      <c r="R249" s="63"/>
      <c r="S249" s="61"/>
    </row>
    <row r="250" spans="2:19" x14ac:dyDescent="0.25">
      <c r="B250" s="59"/>
      <c r="C250" s="63"/>
      <c r="D250" s="61"/>
      <c r="G250" s="59"/>
      <c r="H250" s="63"/>
      <c r="I250" s="61"/>
      <c r="L250" s="59"/>
      <c r="M250" s="63"/>
      <c r="N250" s="61"/>
      <c r="O250" s="62"/>
      <c r="Q250" s="59"/>
      <c r="R250" s="63"/>
      <c r="S250" s="61"/>
    </row>
    <row r="251" spans="2:19" x14ac:dyDescent="0.25">
      <c r="B251" s="59"/>
      <c r="C251" s="66"/>
      <c r="D251" s="61"/>
      <c r="G251" s="59"/>
      <c r="H251" s="66"/>
      <c r="I251" s="61"/>
      <c r="L251" s="59"/>
      <c r="M251" s="66"/>
      <c r="N251" s="61"/>
      <c r="O251" s="62"/>
      <c r="Q251" s="59"/>
      <c r="R251" s="66"/>
      <c r="S251" s="61"/>
    </row>
    <row r="252" spans="2:19" x14ac:dyDescent="0.25">
      <c r="B252" s="59"/>
      <c r="C252" s="63"/>
      <c r="D252" s="61"/>
      <c r="G252" s="59"/>
      <c r="H252" s="63"/>
      <c r="I252" s="61"/>
      <c r="L252" s="59"/>
      <c r="M252" s="63"/>
      <c r="N252" s="61"/>
      <c r="O252" s="62"/>
      <c r="Q252" s="59"/>
      <c r="R252" s="63"/>
      <c r="S252" s="61"/>
    </row>
    <row r="253" spans="2:19" x14ac:dyDescent="0.25">
      <c r="B253" s="59"/>
      <c r="C253" s="63"/>
      <c r="D253" s="68"/>
      <c r="G253" s="59"/>
      <c r="H253" s="63"/>
      <c r="I253" s="68"/>
      <c r="L253" s="59"/>
      <c r="M253" s="63"/>
      <c r="N253" s="68"/>
      <c r="O253" s="69"/>
      <c r="Q253" s="59"/>
      <c r="R253" s="63"/>
      <c r="S253" s="68"/>
    </row>
    <row r="254" spans="2:19" x14ac:dyDescent="0.25">
      <c r="B254" s="59"/>
      <c r="C254" s="63"/>
      <c r="D254" s="68"/>
      <c r="G254" s="59"/>
      <c r="H254" s="63"/>
      <c r="I254" s="68"/>
      <c r="L254" s="59"/>
      <c r="M254" s="63"/>
      <c r="N254" s="68"/>
      <c r="O254" s="62"/>
      <c r="Q254" s="59"/>
      <c r="R254" s="63"/>
      <c r="S254" s="68"/>
    </row>
    <row r="255" spans="2:19" x14ac:dyDescent="0.25">
      <c r="B255" s="70"/>
      <c r="C255" s="71"/>
      <c r="D255" s="61"/>
      <c r="G255" s="70"/>
      <c r="H255" s="71"/>
      <c r="I255" s="61"/>
      <c r="L255" s="70"/>
      <c r="M255" s="71"/>
      <c r="N255" s="61"/>
      <c r="O255" s="62"/>
      <c r="Q255" s="70"/>
      <c r="R255" s="71"/>
      <c r="S255" s="61"/>
    </row>
    <row r="256" spans="2:19" x14ac:dyDescent="0.25">
      <c r="B256" s="70"/>
      <c r="C256" s="60"/>
      <c r="D256" s="68"/>
      <c r="G256" s="70"/>
      <c r="H256" s="60"/>
      <c r="I256" s="68"/>
      <c r="L256" s="70"/>
      <c r="M256" s="60"/>
      <c r="N256" s="68"/>
      <c r="O256" s="69"/>
      <c r="Q256" s="70"/>
      <c r="R256" s="60"/>
      <c r="S256" s="68"/>
    </row>
    <row r="257" spans="2:19" x14ac:dyDescent="0.25">
      <c r="B257" s="70"/>
      <c r="C257" s="38"/>
      <c r="D257" s="68"/>
      <c r="G257" s="70"/>
      <c r="H257" s="38"/>
      <c r="I257" s="68"/>
      <c r="L257" s="70"/>
      <c r="M257" s="38"/>
      <c r="N257" s="68"/>
      <c r="O257" s="69"/>
      <c r="Q257" s="70"/>
      <c r="R257" s="38"/>
      <c r="S257" s="68"/>
    </row>
    <row r="258" spans="2:19" ht="15.75" thickBot="1" x14ac:dyDescent="0.3">
      <c r="B258" s="72"/>
      <c r="C258" s="73"/>
      <c r="D258" s="74"/>
      <c r="G258" s="72"/>
      <c r="H258" s="73"/>
      <c r="I258" s="74"/>
      <c r="L258" s="72"/>
      <c r="M258" s="73"/>
      <c r="N258" s="74"/>
      <c r="O258" s="69"/>
      <c r="Q258" s="72"/>
      <c r="R258" s="73"/>
      <c r="S258" s="74"/>
    </row>
    <row r="261" spans="2:19" ht="15.75" thickBot="1" x14ac:dyDescent="0.3"/>
    <row r="262" spans="2:19" ht="25.5" customHeight="1" thickBot="1" x14ac:dyDescent="0.3">
      <c r="B262" s="131" t="s">
        <v>834</v>
      </c>
      <c r="C262" s="132"/>
      <c r="D262" s="133"/>
      <c r="G262" s="131" t="s">
        <v>834</v>
      </c>
      <c r="H262" s="132"/>
      <c r="I262" s="133"/>
      <c r="L262" s="131" t="s">
        <v>834</v>
      </c>
      <c r="M262" s="132"/>
      <c r="N262" s="133"/>
      <c r="O262" s="54"/>
      <c r="Q262" s="131" t="s">
        <v>834</v>
      </c>
      <c r="R262" s="132"/>
      <c r="S262" s="133"/>
    </row>
    <row r="263" spans="2:19" x14ac:dyDescent="0.25">
      <c r="B263" s="55"/>
      <c r="C263" s="56"/>
      <c r="D263" s="57"/>
      <c r="G263" s="55"/>
      <c r="H263" s="56"/>
      <c r="I263" s="57"/>
      <c r="L263" s="55"/>
      <c r="M263" s="56"/>
      <c r="N263" s="57"/>
      <c r="O263" s="58"/>
      <c r="Q263" s="55"/>
      <c r="R263" s="56"/>
      <c r="S263" s="57"/>
    </row>
    <row r="264" spans="2:19" x14ac:dyDescent="0.25">
      <c r="B264" s="59"/>
      <c r="C264" s="60"/>
      <c r="D264" s="61"/>
      <c r="G264" s="59"/>
      <c r="H264" s="60"/>
      <c r="I264" s="61"/>
      <c r="L264" s="59"/>
      <c r="M264" s="60"/>
      <c r="N264" s="61"/>
      <c r="O264" s="62"/>
      <c r="Q264" s="59"/>
      <c r="R264" s="60"/>
      <c r="S264" s="61"/>
    </row>
    <row r="265" spans="2:19" x14ac:dyDescent="0.25">
      <c r="B265" s="59"/>
      <c r="C265" s="63"/>
      <c r="D265" s="61"/>
      <c r="G265" s="59"/>
      <c r="H265" s="63"/>
      <c r="I265" s="61"/>
      <c r="L265" s="59"/>
      <c r="M265" s="63"/>
      <c r="N265" s="61"/>
      <c r="O265" s="62"/>
      <c r="Q265" s="59"/>
      <c r="R265" s="63"/>
      <c r="S265" s="61"/>
    </row>
    <row r="266" spans="2:19" x14ac:dyDescent="0.25">
      <c r="B266" s="59"/>
      <c r="C266" s="64"/>
      <c r="D266" s="61"/>
      <c r="G266" s="59"/>
      <c r="H266" s="64"/>
      <c r="I266" s="61"/>
      <c r="L266" s="59"/>
      <c r="M266" s="64"/>
      <c r="N266" s="61"/>
      <c r="O266" s="62"/>
      <c r="Q266" s="59"/>
      <c r="R266" s="64"/>
      <c r="S266" s="61"/>
    </row>
    <row r="267" spans="2:19" x14ac:dyDescent="0.25">
      <c r="B267" s="59"/>
      <c r="C267" s="65"/>
      <c r="D267" s="61"/>
      <c r="G267" s="59"/>
      <c r="H267" s="65"/>
      <c r="I267" s="61"/>
      <c r="L267" s="59"/>
      <c r="M267" s="65"/>
      <c r="N267" s="61"/>
      <c r="O267" s="62"/>
      <c r="Q267" s="59"/>
      <c r="R267" s="65"/>
      <c r="S267" s="61"/>
    </row>
    <row r="268" spans="2:19" x14ac:dyDescent="0.25">
      <c r="B268" s="59"/>
      <c r="C268" s="66"/>
      <c r="D268" s="61"/>
      <c r="G268" s="59"/>
      <c r="H268" s="66"/>
      <c r="I268" s="61"/>
      <c r="L268" s="59"/>
      <c r="M268" s="66"/>
      <c r="N268" s="61"/>
      <c r="O268" s="62"/>
      <c r="Q268" s="59"/>
      <c r="R268" s="66"/>
      <c r="S268" s="61"/>
    </row>
    <row r="269" spans="2:19" x14ac:dyDescent="0.25">
      <c r="B269" s="59"/>
      <c r="C269" s="65"/>
      <c r="D269" s="61"/>
      <c r="G269" s="59"/>
      <c r="H269" s="65"/>
      <c r="I269" s="61"/>
      <c r="L269" s="59"/>
      <c r="M269" s="65"/>
      <c r="N269" s="61"/>
      <c r="O269" s="62"/>
      <c r="Q269" s="59"/>
      <c r="R269" s="65"/>
      <c r="S269" s="61"/>
    </row>
    <row r="270" spans="2:19" x14ac:dyDescent="0.25">
      <c r="B270" s="59"/>
      <c r="C270" s="67"/>
      <c r="D270" s="61"/>
      <c r="G270" s="59"/>
      <c r="H270" s="67"/>
      <c r="I270" s="61"/>
      <c r="L270" s="59"/>
      <c r="M270" s="67"/>
      <c r="N270" s="61"/>
      <c r="O270" s="62"/>
      <c r="Q270" s="59"/>
      <c r="R270" s="67"/>
      <c r="S270" s="61"/>
    </row>
    <row r="271" spans="2:19" x14ac:dyDescent="0.25">
      <c r="B271" s="59"/>
      <c r="C271" s="63"/>
      <c r="D271" s="61"/>
      <c r="G271" s="59"/>
      <c r="H271" s="63"/>
      <c r="I271" s="61"/>
      <c r="L271" s="59"/>
      <c r="M271" s="63"/>
      <c r="N271" s="61"/>
      <c r="O271" s="62"/>
      <c r="Q271" s="59"/>
      <c r="R271" s="63"/>
      <c r="S271" s="61"/>
    </row>
    <row r="272" spans="2:19" x14ac:dyDescent="0.25">
      <c r="B272" s="59"/>
      <c r="C272" s="65"/>
      <c r="D272" s="61"/>
      <c r="G272" s="59"/>
      <c r="H272" s="65"/>
      <c r="I272" s="61"/>
      <c r="L272" s="59"/>
      <c r="M272" s="65"/>
      <c r="N272" s="61"/>
      <c r="O272" s="62"/>
      <c r="Q272" s="59"/>
      <c r="R272" s="65"/>
      <c r="S272" s="61"/>
    </row>
    <row r="273" spans="2:19" x14ac:dyDescent="0.25">
      <c r="B273" s="59"/>
      <c r="C273" s="63"/>
      <c r="D273" s="61"/>
      <c r="G273" s="59"/>
      <c r="H273" s="63"/>
      <c r="I273" s="61"/>
      <c r="L273" s="59"/>
      <c r="M273" s="63"/>
      <c r="N273" s="61"/>
      <c r="O273" s="62"/>
      <c r="Q273" s="59"/>
      <c r="R273" s="63"/>
      <c r="S273" s="61"/>
    </row>
    <row r="274" spans="2:19" x14ac:dyDescent="0.25">
      <c r="B274" s="59"/>
      <c r="C274" s="63"/>
      <c r="D274" s="68"/>
      <c r="G274" s="59"/>
      <c r="H274" s="63"/>
      <c r="I274" s="68"/>
      <c r="L274" s="59"/>
      <c r="M274" s="63"/>
      <c r="N274" s="68"/>
      <c r="O274" s="69"/>
      <c r="Q274" s="59"/>
      <c r="R274" s="63"/>
      <c r="S274" s="68"/>
    </row>
    <row r="275" spans="2:19" x14ac:dyDescent="0.25">
      <c r="B275" s="59"/>
      <c r="C275" s="63"/>
      <c r="D275" s="61"/>
      <c r="G275" s="59"/>
      <c r="H275" s="63"/>
      <c r="I275" s="61"/>
      <c r="L275" s="59"/>
      <c r="M275" s="63"/>
      <c r="N275" s="61"/>
      <c r="O275" s="62"/>
      <c r="Q275" s="59"/>
      <c r="R275" s="63"/>
      <c r="S275" s="61"/>
    </row>
    <row r="276" spans="2:19" x14ac:dyDescent="0.25">
      <c r="B276" s="59"/>
      <c r="C276" s="63"/>
      <c r="D276" s="61"/>
      <c r="G276" s="59"/>
      <c r="H276" s="63"/>
      <c r="I276" s="61"/>
      <c r="L276" s="59"/>
      <c r="M276" s="63"/>
      <c r="N276" s="61"/>
      <c r="O276" s="62"/>
      <c r="Q276" s="59"/>
      <c r="R276" s="63"/>
      <c r="S276" s="61"/>
    </row>
    <row r="277" spans="2:19" x14ac:dyDescent="0.25">
      <c r="B277" s="59"/>
      <c r="C277" s="66"/>
      <c r="D277" s="61"/>
      <c r="G277" s="59"/>
      <c r="H277" s="66"/>
      <c r="I277" s="61"/>
      <c r="L277" s="59"/>
      <c r="M277" s="66"/>
      <c r="N277" s="61"/>
      <c r="O277" s="62"/>
      <c r="Q277" s="59"/>
      <c r="R277" s="66"/>
      <c r="S277" s="61"/>
    </row>
    <row r="278" spans="2:19" x14ac:dyDescent="0.25">
      <c r="B278" s="59"/>
      <c r="C278" s="63"/>
      <c r="D278" s="61"/>
      <c r="G278" s="59"/>
      <c r="H278" s="63"/>
      <c r="I278" s="61"/>
      <c r="L278" s="59"/>
      <c r="M278" s="63"/>
      <c r="N278" s="61"/>
      <c r="O278" s="62"/>
      <c r="Q278" s="59"/>
      <c r="R278" s="63"/>
      <c r="S278" s="61"/>
    </row>
    <row r="279" spans="2:19" x14ac:dyDescent="0.25">
      <c r="B279" s="59"/>
      <c r="C279" s="63"/>
      <c r="D279" s="68"/>
      <c r="G279" s="59"/>
      <c r="H279" s="63"/>
      <c r="I279" s="68"/>
      <c r="L279" s="59"/>
      <c r="M279" s="63"/>
      <c r="N279" s="68"/>
      <c r="O279" s="69"/>
      <c r="Q279" s="59"/>
      <c r="R279" s="63"/>
      <c r="S279" s="68"/>
    </row>
    <row r="280" spans="2:19" x14ac:dyDescent="0.25">
      <c r="B280" s="59"/>
      <c r="C280" s="63"/>
      <c r="D280" s="68"/>
      <c r="G280" s="59"/>
      <c r="H280" s="63"/>
      <c r="I280" s="68"/>
      <c r="L280" s="59"/>
      <c r="M280" s="63"/>
      <c r="N280" s="68"/>
      <c r="O280" s="69"/>
      <c r="Q280" s="59"/>
      <c r="R280" s="63"/>
      <c r="S280" s="68"/>
    </row>
    <row r="281" spans="2:19" x14ac:dyDescent="0.25">
      <c r="B281" s="70"/>
      <c r="C281" s="71"/>
      <c r="D281" s="61"/>
      <c r="G281" s="70"/>
      <c r="H281" s="71"/>
      <c r="I281" s="61"/>
      <c r="L281" s="70"/>
      <c r="M281" s="71"/>
      <c r="N281" s="61"/>
      <c r="O281" s="62"/>
      <c r="Q281" s="70"/>
      <c r="R281" s="71"/>
      <c r="S281" s="61"/>
    </row>
    <row r="282" spans="2:19" x14ac:dyDescent="0.25">
      <c r="B282" s="70"/>
      <c r="C282" s="60"/>
      <c r="D282" s="68"/>
      <c r="G282" s="70"/>
      <c r="H282" s="60"/>
      <c r="I282" s="68"/>
      <c r="L282" s="70"/>
      <c r="M282" s="60"/>
      <c r="N282" s="68"/>
      <c r="O282" s="69"/>
      <c r="Q282" s="70"/>
      <c r="R282" s="60"/>
      <c r="S282" s="68"/>
    </row>
    <row r="283" spans="2:19" x14ac:dyDescent="0.25">
      <c r="B283" s="70"/>
      <c r="C283" s="38"/>
      <c r="D283" s="68"/>
      <c r="G283" s="70"/>
      <c r="H283" s="38"/>
      <c r="I283" s="68"/>
      <c r="L283" s="70"/>
      <c r="M283" s="38"/>
      <c r="N283" s="68"/>
      <c r="O283" s="69"/>
      <c r="Q283" s="70"/>
      <c r="R283" s="38"/>
      <c r="S283" s="68"/>
    </row>
    <row r="284" spans="2:19" ht="15.75" thickBot="1" x14ac:dyDescent="0.3">
      <c r="B284" s="72"/>
      <c r="C284" s="73"/>
      <c r="D284" s="74"/>
      <c r="G284" s="72"/>
      <c r="H284" s="73"/>
      <c r="I284" s="74"/>
      <c r="L284" s="72"/>
      <c r="M284" s="73"/>
      <c r="N284" s="74"/>
      <c r="O284" s="69"/>
      <c r="Q284" s="72"/>
      <c r="R284" s="73"/>
      <c r="S284" s="74"/>
    </row>
    <row r="285" spans="2:19" x14ac:dyDescent="0.25">
      <c r="B285" s="75"/>
      <c r="C285" s="76"/>
      <c r="D285" s="77"/>
      <c r="G285" s="75"/>
      <c r="H285" s="76"/>
      <c r="I285" s="77"/>
      <c r="L285" s="75"/>
      <c r="M285" s="76"/>
      <c r="N285" s="77"/>
      <c r="O285" s="77"/>
      <c r="Q285" s="75"/>
      <c r="R285" s="76"/>
      <c r="S285" s="77"/>
    </row>
    <row r="287" spans="2:19" ht="15.75" thickBot="1" x14ac:dyDescent="0.3"/>
    <row r="288" spans="2:19" ht="25.5" customHeight="1" thickBot="1" x14ac:dyDescent="0.3">
      <c r="B288" s="131" t="s">
        <v>834</v>
      </c>
      <c r="C288" s="132"/>
      <c r="D288" s="133"/>
      <c r="G288" s="131" t="s">
        <v>834</v>
      </c>
      <c r="H288" s="132"/>
      <c r="I288" s="133"/>
      <c r="L288" s="131" t="s">
        <v>834</v>
      </c>
      <c r="M288" s="132"/>
      <c r="N288" s="133"/>
      <c r="O288" s="54"/>
      <c r="Q288" s="131" t="s">
        <v>834</v>
      </c>
      <c r="R288" s="132"/>
      <c r="S288" s="133"/>
    </row>
    <row r="289" spans="2:19" x14ac:dyDescent="0.25">
      <c r="B289" s="55"/>
      <c r="C289" s="56"/>
      <c r="D289" s="57"/>
      <c r="G289" s="55"/>
      <c r="H289" s="56"/>
      <c r="I289" s="57"/>
      <c r="L289" s="55"/>
      <c r="M289" s="56"/>
      <c r="N289" s="57"/>
      <c r="O289" s="78"/>
      <c r="Q289" s="55"/>
      <c r="R289" s="56"/>
      <c r="S289" s="57"/>
    </row>
    <row r="290" spans="2:19" x14ac:dyDescent="0.25">
      <c r="B290" s="59"/>
      <c r="C290" s="60"/>
      <c r="D290" s="61"/>
      <c r="G290" s="59"/>
      <c r="H290" s="60"/>
      <c r="I290" s="61"/>
      <c r="L290" s="59"/>
      <c r="M290" s="60"/>
      <c r="N290" s="61"/>
      <c r="O290" s="62"/>
      <c r="Q290" s="59"/>
      <c r="R290" s="60"/>
      <c r="S290" s="61"/>
    </row>
    <row r="291" spans="2:19" x14ac:dyDescent="0.25">
      <c r="B291" s="59"/>
      <c r="C291" s="63"/>
      <c r="D291" s="61"/>
      <c r="G291" s="59"/>
      <c r="H291" s="63"/>
      <c r="I291" s="61"/>
      <c r="L291" s="59"/>
      <c r="M291" s="63"/>
      <c r="N291" s="61"/>
      <c r="O291" s="62"/>
      <c r="Q291" s="59"/>
      <c r="R291" s="63"/>
      <c r="S291" s="61"/>
    </row>
    <row r="292" spans="2:19" x14ac:dyDescent="0.25">
      <c r="B292" s="59"/>
      <c r="C292" s="64"/>
      <c r="D292" s="61"/>
      <c r="G292" s="59"/>
      <c r="H292" s="64"/>
      <c r="I292" s="61"/>
      <c r="L292" s="59"/>
      <c r="M292" s="64"/>
      <c r="N292" s="61"/>
      <c r="O292" s="62"/>
      <c r="Q292" s="59"/>
      <c r="R292" s="64"/>
      <c r="S292" s="61"/>
    </row>
    <row r="293" spans="2:19" x14ac:dyDescent="0.25">
      <c r="B293" s="59"/>
      <c r="C293" s="65"/>
      <c r="D293" s="61"/>
      <c r="G293" s="59"/>
      <c r="H293" s="65"/>
      <c r="I293" s="61"/>
      <c r="L293" s="59"/>
      <c r="M293" s="65"/>
      <c r="N293" s="61"/>
      <c r="O293" s="62"/>
      <c r="Q293" s="59"/>
      <c r="R293" s="65"/>
      <c r="S293" s="61"/>
    </row>
    <row r="294" spans="2:19" x14ac:dyDescent="0.25">
      <c r="B294" s="59"/>
      <c r="C294" s="66"/>
      <c r="D294" s="61"/>
      <c r="G294" s="59"/>
      <c r="H294" s="66"/>
      <c r="I294" s="61"/>
      <c r="L294" s="59"/>
      <c r="M294" s="66"/>
      <c r="N294" s="61"/>
      <c r="O294" s="62"/>
      <c r="Q294" s="59"/>
      <c r="R294" s="66"/>
      <c r="S294" s="61"/>
    </row>
    <row r="295" spans="2:19" x14ac:dyDescent="0.25">
      <c r="B295" s="59"/>
      <c r="C295" s="65"/>
      <c r="D295" s="61"/>
      <c r="G295" s="59"/>
      <c r="H295" s="65"/>
      <c r="I295" s="61"/>
      <c r="L295" s="59"/>
      <c r="M295" s="65"/>
      <c r="N295" s="61"/>
      <c r="O295" s="62"/>
      <c r="Q295" s="59"/>
      <c r="R295" s="65"/>
      <c r="S295" s="61"/>
    </row>
    <row r="296" spans="2:19" x14ac:dyDescent="0.25">
      <c r="B296" s="59"/>
      <c r="C296" s="67"/>
      <c r="D296" s="61"/>
      <c r="G296" s="59"/>
      <c r="H296" s="67"/>
      <c r="I296" s="61"/>
      <c r="L296" s="59"/>
      <c r="M296" s="67"/>
      <c r="N296" s="61"/>
      <c r="O296" s="62"/>
      <c r="Q296" s="59"/>
      <c r="R296" s="67"/>
      <c r="S296" s="61"/>
    </row>
    <row r="297" spans="2:19" x14ac:dyDescent="0.25">
      <c r="B297" s="59"/>
      <c r="C297" s="63"/>
      <c r="D297" s="61"/>
      <c r="G297" s="59"/>
      <c r="H297" s="63"/>
      <c r="I297" s="61"/>
      <c r="L297" s="59"/>
      <c r="M297" s="63"/>
      <c r="N297" s="61"/>
      <c r="O297" s="62"/>
      <c r="Q297" s="59"/>
      <c r="R297" s="63"/>
      <c r="S297" s="61"/>
    </row>
    <row r="298" spans="2:19" x14ac:dyDescent="0.25">
      <c r="B298" s="59"/>
      <c r="C298" s="65"/>
      <c r="D298" s="61"/>
      <c r="G298" s="59"/>
      <c r="H298" s="65"/>
      <c r="I298" s="61"/>
      <c r="L298" s="59"/>
      <c r="M298" s="65"/>
      <c r="N298" s="61"/>
      <c r="O298" s="62"/>
      <c r="Q298" s="59"/>
      <c r="R298" s="65"/>
      <c r="S298" s="61"/>
    </row>
    <row r="299" spans="2:19" x14ac:dyDescent="0.25">
      <c r="B299" s="59"/>
      <c r="C299" s="63"/>
      <c r="D299" s="61"/>
      <c r="G299" s="59"/>
      <c r="H299" s="63"/>
      <c r="I299" s="61"/>
      <c r="L299" s="59"/>
      <c r="M299" s="63"/>
      <c r="N299" s="61"/>
      <c r="O299" s="62"/>
      <c r="Q299" s="59"/>
      <c r="R299" s="63"/>
      <c r="S299" s="61"/>
    </row>
    <row r="300" spans="2:19" x14ac:dyDescent="0.25">
      <c r="B300" s="59"/>
      <c r="C300" s="63"/>
      <c r="D300" s="68"/>
      <c r="G300" s="59"/>
      <c r="H300" s="63"/>
      <c r="I300" s="68"/>
      <c r="L300" s="59"/>
      <c r="M300" s="63"/>
      <c r="N300" s="68"/>
      <c r="O300" s="69"/>
      <c r="Q300" s="59"/>
      <c r="R300" s="63"/>
      <c r="S300" s="68"/>
    </row>
    <row r="301" spans="2:19" x14ac:dyDescent="0.25">
      <c r="B301" s="59"/>
      <c r="C301" s="63"/>
      <c r="D301" s="61"/>
      <c r="G301" s="59"/>
      <c r="H301" s="63"/>
      <c r="I301" s="61"/>
      <c r="L301" s="59"/>
      <c r="M301" s="63"/>
      <c r="N301" s="61"/>
      <c r="O301" s="62"/>
      <c r="Q301" s="59"/>
      <c r="R301" s="63"/>
      <c r="S301" s="61"/>
    </row>
    <row r="302" spans="2:19" x14ac:dyDescent="0.25">
      <c r="B302" s="59"/>
      <c r="C302" s="63"/>
      <c r="D302" s="61"/>
      <c r="G302" s="59"/>
      <c r="H302" s="63"/>
      <c r="I302" s="61"/>
      <c r="L302" s="59"/>
      <c r="M302" s="63"/>
      <c r="N302" s="61"/>
      <c r="O302" s="62"/>
      <c r="Q302" s="59"/>
      <c r="R302" s="63"/>
      <c r="S302" s="61"/>
    </row>
    <row r="303" spans="2:19" x14ac:dyDescent="0.25">
      <c r="B303" s="59"/>
      <c r="C303" s="66"/>
      <c r="D303" s="61"/>
      <c r="G303" s="59"/>
      <c r="H303" s="66"/>
      <c r="I303" s="61"/>
      <c r="L303" s="59"/>
      <c r="M303" s="66"/>
      <c r="N303" s="61"/>
      <c r="O303" s="62"/>
      <c r="Q303" s="59"/>
      <c r="R303" s="66"/>
      <c r="S303" s="61"/>
    </row>
    <row r="304" spans="2:19" x14ac:dyDescent="0.25">
      <c r="B304" s="59"/>
      <c r="C304" s="63"/>
      <c r="D304" s="61"/>
      <c r="G304" s="59"/>
      <c r="H304" s="63"/>
      <c r="I304" s="61"/>
      <c r="L304" s="59"/>
      <c r="M304" s="63"/>
      <c r="N304" s="61"/>
      <c r="O304" s="62"/>
      <c r="Q304" s="59"/>
      <c r="R304" s="63"/>
      <c r="S304" s="61"/>
    </row>
    <row r="305" spans="2:19" x14ac:dyDescent="0.25">
      <c r="B305" s="59"/>
      <c r="C305" s="63"/>
      <c r="D305" s="68"/>
      <c r="G305" s="59"/>
      <c r="H305" s="63"/>
      <c r="I305" s="68"/>
      <c r="L305" s="59"/>
      <c r="M305" s="63"/>
      <c r="N305" s="68"/>
      <c r="O305" s="69"/>
      <c r="Q305" s="59"/>
      <c r="R305" s="63"/>
      <c r="S305" s="68"/>
    </row>
    <row r="306" spans="2:19" x14ac:dyDescent="0.25">
      <c r="B306" s="59"/>
      <c r="C306" s="63"/>
      <c r="D306" s="68"/>
      <c r="G306" s="59"/>
      <c r="H306" s="63"/>
      <c r="I306" s="68"/>
      <c r="L306" s="59"/>
      <c r="M306" s="63"/>
      <c r="N306" s="68"/>
      <c r="O306" s="62"/>
      <c r="Q306" s="59"/>
      <c r="R306" s="63"/>
      <c r="S306" s="68"/>
    </row>
    <row r="307" spans="2:19" x14ac:dyDescent="0.25">
      <c r="B307" s="70"/>
      <c r="C307" s="71"/>
      <c r="D307" s="61"/>
      <c r="G307" s="70"/>
      <c r="H307" s="71"/>
      <c r="I307" s="61"/>
      <c r="L307" s="70"/>
      <c r="M307" s="71"/>
      <c r="N307" s="61"/>
      <c r="O307" s="62"/>
      <c r="Q307" s="70"/>
      <c r="R307" s="71"/>
      <c r="S307" s="61"/>
    </row>
    <row r="308" spans="2:19" x14ac:dyDescent="0.25">
      <c r="B308" s="70"/>
      <c r="C308" s="60"/>
      <c r="D308" s="68"/>
      <c r="G308" s="70"/>
      <c r="H308" s="60"/>
      <c r="I308" s="68"/>
      <c r="L308" s="70"/>
      <c r="M308" s="60"/>
      <c r="N308" s="68"/>
      <c r="O308" s="69"/>
      <c r="Q308" s="70"/>
      <c r="R308" s="60"/>
      <c r="S308" s="68"/>
    </row>
    <row r="309" spans="2:19" x14ac:dyDescent="0.25">
      <c r="B309" s="70"/>
      <c r="C309" s="38"/>
      <c r="D309" s="68"/>
      <c r="G309" s="70"/>
      <c r="H309" s="38"/>
      <c r="I309" s="68"/>
      <c r="L309" s="70"/>
      <c r="M309" s="38"/>
      <c r="N309" s="68"/>
      <c r="O309" s="69"/>
      <c r="Q309" s="70"/>
      <c r="R309" s="38"/>
      <c r="S309" s="68"/>
    </row>
    <row r="310" spans="2:19" ht="15.75" thickBot="1" x14ac:dyDescent="0.3">
      <c r="B310" s="72"/>
      <c r="C310" s="73"/>
      <c r="D310" s="74"/>
      <c r="G310" s="72"/>
      <c r="H310" s="73"/>
      <c r="I310" s="74"/>
      <c r="L310" s="72"/>
      <c r="M310" s="73"/>
      <c r="N310" s="74"/>
      <c r="O310" s="69"/>
      <c r="Q310" s="72"/>
      <c r="R310" s="73"/>
      <c r="S310" s="74"/>
    </row>
    <row r="311" spans="2:19" x14ac:dyDescent="0.25">
      <c r="B311" s="75"/>
      <c r="C311" s="76"/>
      <c r="D311" s="77"/>
      <c r="G311" s="75"/>
      <c r="H311" s="76"/>
      <c r="I311" s="77"/>
      <c r="L311" s="75"/>
      <c r="M311" s="76"/>
      <c r="N311" s="77"/>
      <c r="O311" s="77"/>
      <c r="Q311" s="75"/>
      <c r="R311" s="76"/>
      <c r="S311" s="77"/>
    </row>
    <row r="313" spans="2:19" ht="15.75" thickBot="1" x14ac:dyDescent="0.3"/>
    <row r="314" spans="2:19" ht="25.5" customHeight="1" thickBot="1" x14ac:dyDescent="0.3">
      <c r="B314" s="131" t="s">
        <v>834</v>
      </c>
      <c r="C314" s="132"/>
      <c r="D314" s="133"/>
      <c r="G314" s="131" t="s">
        <v>834</v>
      </c>
      <c r="H314" s="132"/>
      <c r="I314" s="133"/>
      <c r="L314" s="131" t="s">
        <v>834</v>
      </c>
      <c r="M314" s="132"/>
      <c r="N314" s="133"/>
      <c r="O314" s="54"/>
      <c r="Q314" s="131" t="s">
        <v>834</v>
      </c>
      <c r="R314" s="132"/>
      <c r="S314" s="133"/>
    </row>
    <row r="315" spans="2:19" x14ac:dyDescent="0.25">
      <c r="B315" s="55"/>
      <c r="C315" s="56"/>
      <c r="D315" s="57"/>
      <c r="G315" s="55"/>
      <c r="H315" s="56"/>
      <c r="I315" s="57"/>
      <c r="L315" s="55"/>
      <c r="M315" s="56"/>
      <c r="N315" s="57"/>
      <c r="O315" s="78"/>
      <c r="Q315" s="55"/>
      <c r="R315" s="56"/>
      <c r="S315" s="57"/>
    </row>
    <row r="316" spans="2:19" x14ac:dyDescent="0.25">
      <c r="B316" s="59"/>
      <c r="C316" s="60"/>
      <c r="D316" s="61"/>
      <c r="G316" s="59"/>
      <c r="H316" s="60"/>
      <c r="I316" s="61"/>
      <c r="L316" s="59"/>
      <c r="M316" s="60"/>
      <c r="N316" s="61"/>
      <c r="O316" s="62"/>
      <c r="Q316" s="59"/>
      <c r="R316" s="60"/>
      <c r="S316" s="61"/>
    </row>
    <row r="317" spans="2:19" x14ac:dyDescent="0.25">
      <c r="B317" s="59"/>
      <c r="C317" s="63"/>
      <c r="D317" s="61"/>
      <c r="G317" s="59"/>
      <c r="H317" s="63"/>
      <c r="I317" s="61"/>
      <c r="L317" s="59"/>
      <c r="M317" s="63"/>
      <c r="N317" s="61"/>
      <c r="O317" s="62"/>
      <c r="Q317" s="59"/>
      <c r="R317" s="63"/>
      <c r="S317" s="61"/>
    </row>
    <row r="318" spans="2:19" x14ac:dyDescent="0.25">
      <c r="B318" s="59"/>
      <c r="C318" s="64"/>
      <c r="D318" s="61"/>
      <c r="G318" s="59"/>
      <c r="H318" s="64"/>
      <c r="I318" s="61"/>
      <c r="L318" s="59"/>
      <c r="M318" s="64"/>
      <c r="N318" s="61"/>
      <c r="O318" s="62"/>
      <c r="Q318" s="59"/>
      <c r="R318" s="64"/>
      <c r="S318" s="61"/>
    </row>
    <row r="319" spans="2:19" x14ac:dyDescent="0.25">
      <c r="B319" s="59"/>
      <c r="C319" s="65"/>
      <c r="D319" s="61"/>
      <c r="G319" s="59"/>
      <c r="H319" s="65"/>
      <c r="I319" s="61"/>
      <c r="L319" s="59"/>
      <c r="M319" s="65"/>
      <c r="N319" s="61"/>
      <c r="O319" s="62"/>
      <c r="Q319" s="59"/>
      <c r="R319" s="65"/>
      <c r="S319" s="61"/>
    </row>
    <row r="320" spans="2:19" x14ac:dyDescent="0.25">
      <c r="B320" s="59"/>
      <c r="C320" s="66"/>
      <c r="D320" s="61"/>
      <c r="G320" s="59"/>
      <c r="H320" s="66"/>
      <c r="I320" s="61"/>
      <c r="L320" s="59"/>
      <c r="M320" s="66"/>
      <c r="N320" s="61"/>
      <c r="O320" s="62"/>
      <c r="Q320" s="59"/>
      <c r="R320" s="66"/>
      <c r="S320" s="61"/>
    </row>
    <row r="321" spans="2:19" x14ac:dyDescent="0.25">
      <c r="B321" s="59"/>
      <c r="C321" s="65"/>
      <c r="D321" s="61"/>
      <c r="G321" s="59"/>
      <c r="H321" s="65"/>
      <c r="I321" s="61"/>
      <c r="L321" s="59"/>
      <c r="M321" s="65"/>
      <c r="N321" s="61"/>
      <c r="O321" s="62"/>
      <c r="Q321" s="59"/>
      <c r="R321" s="65"/>
      <c r="S321" s="61"/>
    </row>
    <row r="322" spans="2:19" x14ac:dyDescent="0.25">
      <c r="B322" s="59"/>
      <c r="C322" s="67"/>
      <c r="D322" s="61"/>
      <c r="G322" s="59"/>
      <c r="H322" s="67"/>
      <c r="I322" s="61"/>
      <c r="L322" s="59"/>
      <c r="M322" s="67"/>
      <c r="N322" s="61"/>
      <c r="O322" s="62"/>
      <c r="Q322" s="59"/>
      <c r="R322" s="67"/>
      <c r="S322" s="61"/>
    </row>
    <row r="323" spans="2:19" x14ac:dyDescent="0.25">
      <c r="B323" s="59"/>
      <c r="C323" s="63"/>
      <c r="D323" s="61"/>
      <c r="G323" s="59"/>
      <c r="H323" s="63"/>
      <c r="I323" s="61"/>
      <c r="L323" s="59"/>
      <c r="M323" s="63"/>
      <c r="N323" s="61"/>
      <c r="O323" s="62"/>
      <c r="Q323" s="59"/>
      <c r="R323" s="63"/>
      <c r="S323" s="61"/>
    </row>
    <row r="324" spans="2:19" x14ac:dyDescent="0.25">
      <c r="B324" s="59"/>
      <c r="C324" s="65"/>
      <c r="D324" s="61"/>
      <c r="G324" s="59"/>
      <c r="H324" s="65"/>
      <c r="I324" s="61"/>
      <c r="L324" s="59"/>
      <c r="M324" s="65"/>
      <c r="N324" s="61"/>
      <c r="O324" s="62"/>
      <c r="Q324" s="59"/>
      <c r="R324" s="65"/>
      <c r="S324" s="61"/>
    </row>
    <row r="325" spans="2:19" x14ac:dyDescent="0.25">
      <c r="B325" s="59"/>
      <c r="C325" s="63"/>
      <c r="D325" s="61"/>
      <c r="G325" s="59"/>
      <c r="H325" s="63"/>
      <c r="I325" s="61"/>
      <c r="L325" s="59"/>
      <c r="M325" s="63"/>
      <c r="N325" s="61"/>
      <c r="O325" s="62"/>
      <c r="Q325" s="59"/>
      <c r="R325" s="63"/>
      <c r="S325" s="61"/>
    </row>
    <row r="326" spans="2:19" x14ac:dyDescent="0.25">
      <c r="B326" s="59"/>
      <c r="C326" s="63"/>
      <c r="D326" s="68"/>
      <c r="G326" s="59"/>
      <c r="H326" s="63"/>
      <c r="I326" s="68"/>
      <c r="L326" s="59"/>
      <c r="M326" s="63"/>
      <c r="N326" s="68"/>
      <c r="O326" s="69"/>
      <c r="Q326" s="59"/>
      <c r="R326" s="63"/>
      <c r="S326" s="68"/>
    </row>
    <row r="327" spans="2:19" x14ac:dyDescent="0.25">
      <c r="B327" s="59"/>
      <c r="C327" s="63"/>
      <c r="D327" s="61"/>
      <c r="G327" s="59"/>
      <c r="H327" s="63"/>
      <c r="I327" s="61"/>
      <c r="L327" s="59"/>
      <c r="M327" s="63"/>
      <c r="N327" s="61"/>
      <c r="O327" s="62"/>
      <c r="Q327" s="59"/>
      <c r="R327" s="63"/>
      <c r="S327" s="61"/>
    </row>
    <row r="328" spans="2:19" x14ac:dyDescent="0.25">
      <c r="B328" s="59"/>
      <c r="C328" s="63"/>
      <c r="D328" s="61"/>
      <c r="G328" s="59"/>
      <c r="H328" s="63"/>
      <c r="I328" s="61"/>
      <c r="L328" s="59"/>
      <c r="M328" s="63"/>
      <c r="N328" s="61"/>
      <c r="O328" s="62"/>
      <c r="Q328" s="59"/>
      <c r="R328" s="63"/>
      <c r="S328" s="61"/>
    </row>
    <row r="329" spans="2:19" x14ac:dyDescent="0.25">
      <c r="B329" s="59"/>
      <c r="C329" s="66"/>
      <c r="D329" s="61"/>
      <c r="G329" s="59"/>
      <c r="H329" s="66"/>
      <c r="I329" s="61"/>
      <c r="L329" s="59"/>
      <c r="M329" s="66"/>
      <c r="N329" s="61"/>
      <c r="O329" s="62"/>
      <c r="Q329" s="59"/>
      <c r="R329" s="66"/>
      <c r="S329" s="61"/>
    </row>
    <row r="330" spans="2:19" x14ac:dyDescent="0.25">
      <c r="B330" s="59"/>
      <c r="C330" s="63"/>
      <c r="D330" s="61"/>
      <c r="G330" s="59"/>
      <c r="H330" s="63"/>
      <c r="I330" s="61"/>
      <c r="L330" s="59"/>
      <c r="M330" s="63"/>
      <c r="N330" s="61"/>
      <c r="O330" s="62"/>
      <c r="Q330" s="59"/>
      <c r="R330" s="63"/>
      <c r="S330" s="61"/>
    </row>
    <row r="331" spans="2:19" x14ac:dyDescent="0.25">
      <c r="B331" s="59"/>
      <c r="C331" s="63"/>
      <c r="D331" s="68"/>
      <c r="G331" s="59"/>
      <c r="H331" s="63"/>
      <c r="I331" s="68"/>
      <c r="L331" s="59"/>
      <c r="M331" s="63"/>
      <c r="N331" s="68"/>
      <c r="O331" s="69"/>
      <c r="Q331" s="59"/>
      <c r="R331" s="63"/>
      <c r="S331" s="68"/>
    </row>
    <row r="332" spans="2:19" x14ac:dyDescent="0.25">
      <c r="B332" s="59"/>
      <c r="C332" s="63"/>
      <c r="D332" s="68"/>
      <c r="G332" s="59"/>
      <c r="H332" s="63"/>
      <c r="I332" s="68"/>
      <c r="L332" s="59"/>
      <c r="M332" s="63"/>
      <c r="N332" s="68"/>
      <c r="O332" s="62"/>
      <c r="Q332" s="59"/>
      <c r="R332" s="63"/>
      <c r="S332" s="68"/>
    </row>
    <row r="333" spans="2:19" x14ac:dyDescent="0.25">
      <c r="B333" s="70"/>
      <c r="C333" s="71"/>
      <c r="D333" s="61"/>
      <c r="G333" s="70"/>
      <c r="H333" s="71"/>
      <c r="I333" s="61"/>
      <c r="L333" s="70"/>
      <c r="M333" s="71"/>
      <c r="N333" s="61"/>
      <c r="O333" s="62"/>
      <c r="Q333" s="70"/>
      <c r="R333" s="71"/>
      <c r="S333" s="61"/>
    </row>
    <row r="334" spans="2:19" x14ac:dyDescent="0.25">
      <c r="B334" s="70"/>
      <c r="C334" s="60"/>
      <c r="D334" s="68"/>
      <c r="G334" s="70"/>
      <c r="H334" s="60"/>
      <c r="I334" s="68"/>
      <c r="L334" s="70"/>
      <c r="M334" s="60"/>
      <c r="N334" s="68"/>
      <c r="O334" s="69"/>
      <c r="Q334" s="70"/>
      <c r="R334" s="60"/>
      <c r="S334" s="68"/>
    </row>
    <row r="335" spans="2:19" x14ac:dyDescent="0.25">
      <c r="B335" s="70"/>
      <c r="C335" s="38"/>
      <c r="D335" s="68"/>
      <c r="G335" s="70"/>
      <c r="H335" s="38"/>
      <c r="I335" s="68"/>
      <c r="L335" s="70"/>
      <c r="M335" s="38"/>
      <c r="N335" s="68"/>
      <c r="O335" s="69"/>
      <c r="Q335" s="70"/>
      <c r="R335" s="38"/>
      <c r="S335" s="68"/>
    </row>
    <row r="336" spans="2:19" ht="15.75" thickBot="1" x14ac:dyDescent="0.3">
      <c r="B336" s="72"/>
      <c r="C336" s="73"/>
      <c r="D336" s="74"/>
      <c r="G336" s="72"/>
      <c r="H336" s="73"/>
      <c r="I336" s="74"/>
      <c r="L336" s="72"/>
      <c r="M336" s="73"/>
      <c r="N336" s="74"/>
      <c r="O336" s="69"/>
      <c r="Q336" s="72"/>
      <c r="R336" s="73"/>
      <c r="S336" s="74"/>
    </row>
    <row r="339" spans="2:19" ht="15.75" thickBot="1" x14ac:dyDescent="0.3"/>
    <row r="340" spans="2:19" ht="25.5" customHeight="1" thickBot="1" x14ac:dyDescent="0.3">
      <c r="B340" s="131" t="s">
        <v>834</v>
      </c>
      <c r="C340" s="132"/>
      <c r="D340" s="133"/>
      <c r="G340" s="131" t="s">
        <v>834</v>
      </c>
      <c r="H340" s="132"/>
      <c r="I340" s="133"/>
      <c r="L340" s="131" t="s">
        <v>834</v>
      </c>
      <c r="M340" s="132"/>
      <c r="N340" s="133"/>
      <c r="O340" s="54"/>
      <c r="Q340" s="131" t="s">
        <v>834</v>
      </c>
      <c r="R340" s="132"/>
      <c r="S340" s="133"/>
    </row>
    <row r="341" spans="2:19" x14ac:dyDescent="0.25">
      <c r="B341" s="55"/>
      <c r="C341" s="56"/>
      <c r="D341" s="57"/>
      <c r="G341" s="55"/>
      <c r="H341" s="56"/>
      <c r="I341" s="57"/>
      <c r="L341" s="55"/>
      <c r="M341" s="56"/>
      <c r="N341" s="57"/>
      <c r="O341" s="78"/>
      <c r="Q341" s="55"/>
      <c r="R341" s="56"/>
      <c r="S341" s="57"/>
    </row>
    <row r="342" spans="2:19" x14ac:dyDescent="0.25">
      <c r="B342" s="59"/>
      <c r="C342" s="60"/>
      <c r="D342" s="61"/>
      <c r="G342" s="59"/>
      <c r="H342" s="60"/>
      <c r="I342" s="61"/>
      <c r="L342" s="59"/>
      <c r="M342" s="60"/>
      <c r="N342" s="61"/>
      <c r="O342" s="62"/>
      <c r="Q342" s="59"/>
      <c r="R342" s="60"/>
      <c r="S342" s="61"/>
    </row>
    <row r="343" spans="2:19" x14ac:dyDescent="0.25">
      <c r="B343" s="59"/>
      <c r="C343" s="63"/>
      <c r="D343" s="61"/>
      <c r="G343" s="59"/>
      <c r="H343" s="63"/>
      <c r="I343" s="61"/>
      <c r="L343" s="59"/>
      <c r="M343" s="63"/>
      <c r="N343" s="61"/>
      <c r="O343" s="62"/>
      <c r="Q343" s="59"/>
      <c r="R343" s="63"/>
      <c r="S343" s="61"/>
    </row>
    <row r="344" spans="2:19" x14ac:dyDescent="0.25">
      <c r="B344" s="59"/>
      <c r="C344" s="64"/>
      <c r="D344" s="61"/>
      <c r="G344" s="59"/>
      <c r="H344" s="64"/>
      <c r="I344" s="61"/>
      <c r="L344" s="59"/>
      <c r="M344" s="64"/>
      <c r="N344" s="61"/>
      <c r="O344" s="62"/>
      <c r="Q344" s="59"/>
      <c r="R344" s="64"/>
      <c r="S344" s="61"/>
    </row>
    <row r="345" spans="2:19" x14ac:dyDescent="0.25">
      <c r="B345" s="59"/>
      <c r="C345" s="65"/>
      <c r="D345" s="61"/>
      <c r="G345" s="59"/>
      <c r="H345" s="65"/>
      <c r="I345" s="61"/>
      <c r="L345" s="59"/>
      <c r="M345" s="65"/>
      <c r="N345" s="61"/>
      <c r="O345" s="62"/>
      <c r="Q345" s="59"/>
      <c r="R345" s="65"/>
      <c r="S345" s="61"/>
    </row>
    <row r="346" spans="2:19" x14ac:dyDescent="0.25">
      <c r="B346" s="59"/>
      <c r="C346" s="66"/>
      <c r="D346" s="61"/>
      <c r="G346" s="59"/>
      <c r="H346" s="66"/>
      <c r="I346" s="61"/>
      <c r="L346" s="59"/>
      <c r="M346" s="66"/>
      <c r="N346" s="61"/>
      <c r="O346" s="62"/>
      <c r="Q346" s="59"/>
      <c r="R346" s="66"/>
      <c r="S346" s="61"/>
    </row>
    <row r="347" spans="2:19" x14ac:dyDescent="0.25">
      <c r="B347" s="59"/>
      <c r="C347" s="65"/>
      <c r="D347" s="61"/>
      <c r="G347" s="59"/>
      <c r="H347" s="65"/>
      <c r="I347" s="61"/>
      <c r="L347" s="59"/>
      <c r="M347" s="65"/>
      <c r="N347" s="61"/>
      <c r="O347" s="62"/>
      <c r="Q347" s="59"/>
      <c r="R347" s="65"/>
      <c r="S347" s="61"/>
    </row>
    <row r="348" spans="2:19" x14ac:dyDescent="0.25">
      <c r="B348" s="59"/>
      <c r="C348" s="67"/>
      <c r="D348" s="61"/>
      <c r="G348" s="59"/>
      <c r="H348" s="67"/>
      <c r="I348" s="61"/>
      <c r="L348" s="59"/>
      <c r="M348" s="67"/>
      <c r="N348" s="61"/>
      <c r="O348" s="62"/>
      <c r="Q348" s="59"/>
      <c r="R348" s="67"/>
      <c r="S348" s="61"/>
    </row>
    <row r="349" spans="2:19" x14ac:dyDescent="0.25">
      <c r="B349" s="59"/>
      <c r="C349" s="63"/>
      <c r="D349" s="61"/>
      <c r="G349" s="59"/>
      <c r="H349" s="63"/>
      <c r="I349" s="61"/>
      <c r="L349" s="59"/>
      <c r="M349" s="63"/>
      <c r="N349" s="61"/>
      <c r="O349" s="62"/>
      <c r="Q349" s="59"/>
      <c r="R349" s="63"/>
      <c r="S349" s="61"/>
    </row>
    <row r="350" spans="2:19" x14ac:dyDescent="0.25">
      <c r="B350" s="59"/>
      <c r="C350" s="65"/>
      <c r="D350" s="61"/>
      <c r="G350" s="59"/>
      <c r="H350" s="65"/>
      <c r="I350" s="61"/>
      <c r="L350" s="59"/>
      <c r="M350" s="65"/>
      <c r="N350" s="61"/>
      <c r="O350" s="62"/>
      <c r="Q350" s="59"/>
      <c r="R350" s="65"/>
      <c r="S350" s="61"/>
    </row>
    <row r="351" spans="2:19" x14ac:dyDescent="0.25">
      <c r="B351" s="59"/>
      <c r="C351" s="63"/>
      <c r="D351" s="61"/>
      <c r="G351" s="59"/>
      <c r="H351" s="63"/>
      <c r="I351" s="61"/>
      <c r="L351" s="59"/>
      <c r="M351" s="63"/>
      <c r="N351" s="61"/>
      <c r="O351" s="62"/>
      <c r="Q351" s="59"/>
      <c r="R351" s="63"/>
      <c r="S351" s="61"/>
    </row>
    <row r="352" spans="2:19" x14ac:dyDescent="0.25">
      <c r="B352" s="59"/>
      <c r="C352" s="63"/>
      <c r="D352" s="68"/>
      <c r="G352" s="59"/>
      <c r="H352" s="63"/>
      <c r="I352" s="68"/>
      <c r="L352" s="59"/>
      <c r="M352" s="63"/>
      <c r="N352" s="68"/>
      <c r="O352" s="69"/>
      <c r="Q352" s="59"/>
      <c r="R352" s="63"/>
      <c r="S352" s="68"/>
    </row>
    <row r="353" spans="2:19" x14ac:dyDescent="0.25">
      <c r="B353" s="59"/>
      <c r="C353" s="63"/>
      <c r="D353" s="61"/>
      <c r="G353" s="59"/>
      <c r="H353" s="63"/>
      <c r="I353" s="61"/>
      <c r="L353" s="59"/>
      <c r="M353" s="63"/>
      <c r="N353" s="61"/>
      <c r="O353" s="62"/>
      <c r="Q353" s="59"/>
      <c r="R353" s="63"/>
      <c r="S353" s="61"/>
    </row>
    <row r="354" spans="2:19" x14ac:dyDescent="0.25">
      <c r="B354" s="59"/>
      <c r="C354" s="63"/>
      <c r="D354" s="61"/>
      <c r="G354" s="59"/>
      <c r="H354" s="63"/>
      <c r="I354" s="61"/>
      <c r="L354" s="59"/>
      <c r="M354" s="63"/>
      <c r="N354" s="61"/>
      <c r="O354" s="62"/>
      <c r="Q354" s="59"/>
      <c r="R354" s="63"/>
      <c r="S354" s="61"/>
    </row>
    <row r="355" spans="2:19" x14ac:dyDescent="0.25">
      <c r="B355" s="59"/>
      <c r="C355" s="66"/>
      <c r="D355" s="61"/>
      <c r="G355" s="59"/>
      <c r="H355" s="66"/>
      <c r="I355" s="61"/>
      <c r="L355" s="59"/>
      <c r="M355" s="66"/>
      <c r="N355" s="61"/>
      <c r="O355" s="62"/>
      <c r="Q355" s="59"/>
      <c r="R355" s="66"/>
      <c r="S355" s="61"/>
    </row>
    <row r="356" spans="2:19" x14ac:dyDescent="0.25">
      <c r="B356" s="59"/>
      <c r="C356" s="63"/>
      <c r="D356" s="61"/>
      <c r="G356" s="59"/>
      <c r="H356" s="63"/>
      <c r="I356" s="61"/>
      <c r="L356" s="59"/>
      <c r="M356" s="63"/>
      <c r="N356" s="61"/>
      <c r="O356" s="62"/>
      <c r="Q356" s="59"/>
      <c r="R356" s="63"/>
      <c r="S356" s="61"/>
    </row>
    <row r="357" spans="2:19" x14ac:dyDescent="0.25">
      <c r="B357" s="59"/>
      <c r="C357" s="63"/>
      <c r="D357" s="68"/>
      <c r="G357" s="59"/>
      <c r="H357" s="63"/>
      <c r="I357" s="68"/>
      <c r="L357" s="59"/>
      <c r="M357" s="63"/>
      <c r="N357" s="68"/>
      <c r="O357" s="69"/>
      <c r="Q357" s="59"/>
      <c r="R357" s="63"/>
      <c r="S357" s="68"/>
    </row>
    <row r="358" spans="2:19" x14ac:dyDescent="0.25">
      <c r="B358" s="59"/>
      <c r="C358" s="63"/>
      <c r="D358" s="68"/>
      <c r="G358" s="59"/>
      <c r="H358" s="63"/>
      <c r="I358" s="68"/>
      <c r="L358" s="59"/>
      <c r="M358" s="63"/>
      <c r="N358" s="68"/>
      <c r="O358" s="62"/>
      <c r="Q358" s="59"/>
      <c r="R358" s="63"/>
      <c r="S358" s="68"/>
    </row>
    <row r="359" spans="2:19" x14ac:dyDescent="0.25">
      <c r="B359" s="70"/>
      <c r="C359" s="71"/>
      <c r="D359" s="61"/>
      <c r="G359" s="70"/>
      <c r="H359" s="71"/>
      <c r="I359" s="61"/>
      <c r="L359" s="70"/>
      <c r="M359" s="71"/>
      <c r="N359" s="61"/>
      <c r="O359" s="62"/>
      <c r="Q359" s="70"/>
      <c r="R359" s="71"/>
      <c r="S359" s="61"/>
    </row>
    <row r="360" spans="2:19" x14ac:dyDescent="0.25">
      <c r="B360" s="70"/>
      <c r="C360" s="60"/>
      <c r="D360" s="68"/>
      <c r="G360" s="70"/>
      <c r="H360" s="60"/>
      <c r="I360" s="68"/>
      <c r="L360" s="70"/>
      <c r="M360" s="60"/>
      <c r="N360" s="68"/>
      <c r="O360" s="69"/>
      <c r="Q360" s="70"/>
      <c r="R360" s="60"/>
      <c r="S360" s="68"/>
    </row>
    <row r="361" spans="2:19" x14ac:dyDescent="0.25">
      <c r="B361" s="70"/>
      <c r="C361" s="38"/>
      <c r="D361" s="68"/>
      <c r="G361" s="70"/>
      <c r="H361" s="38"/>
      <c r="I361" s="68"/>
      <c r="L361" s="70"/>
      <c r="M361" s="38"/>
      <c r="N361" s="68"/>
      <c r="O361" s="69"/>
      <c r="Q361" s="70"/>
      <c r="R361" s="38"/>
      <c r="S361" s="68"/>
    </row>
    <row r="362" spans="2:19" ht="15.75" thickBot="1" x14ac:dyDescent="0.3">
      <c r="B362" s="72"/>
      <c r="C362" s="73"/>
      <c r="D362" s="74"/>
      <c r="G362" s="72"/>
      <c r="H362" s="73"/>
      <c r="I362" s="74"/>
      <c r="L362" s="72"/>
      <c r="M362" s="73"/>
      <c r="N362" s="74"/>
      <c r="O362" s="69"/>
      <c r="Q362" s="72"/>
      <c r="R362" s="73"/>
      <c r="S362" s="74"/>
    </row>
  </sheetData>
  <mergeCells count="56">
    <mergeCell ref="B2:D2"/>
    <mergeCell ref="G2:I2"/>
    <mergeCell ref="L2:N2"/>
    <mergeCell ref="Q2:S2"/>
    <mergeCell ref="B28:D28"/>
    <mergeCell ref="G28:I28"/>
    <mergeCell ref="L28:N28"/>
    <mergeCell ref="Q28:S28"/>
    <mergeCell ref="B54:D54"/>
    <mergeCell ref="G54:I54"/>
    <mergeCell ref="L54:N54"/>
    <mergeCell ref="Q54:S54"/>
    <mergeCell ref="B80:D80"/>
    <mergeCell ref="G80:I80"/>
    <mergeCell ref="L80:N80"/>
    <mergeCell ref="Q80:S80"/>
    <mergeCell ref="B106:D106"/>
    <mergeCell ref="G106:I106"/>
    <mergeCell ref="L106:N106"/>
    <mergeCell ref="Q106:S106"/>
    <mergeCell ref="B132:D132"/>
    <mergeCell ref="G132:I132"/>
    <mergeCell ref="L132:N132"/>
    <mergeCell ref="Q132:S132"/>
    <mergeCell ref="B158:D158"/>
    <mergeCell ref="G158:I158"/>
    <mergeCell ref="L158:N158"/>
    <mergeCell ref="Q158:S158"/>
    <mergeCell ref="B184:D184"/>
    <mergeCell ref="G184:I184"/>
    <mergeCell ref="L184:N184"/>
    <mergeCell ref="Q184:S184"/>
    <mergeCell ref="B210:D210"/>
    <mergeCell ref="G210:I210"/>
    <mergeCell ref="L210:N210"/>
    <mergeCell ref="Q210:S210"/>
    <mergeCell ref="B236:D236"/>
    <mergeCell ref="G236:I236"/>
    <mergeCell ref="L236:N236"/>
    <mergeCell ref="Q236:S236"/>
    <mergeCell ref="B262:D262"/>
    <mergeCell ref="G262:I262"/>
    <mergeCell ref="L262:N262"/>
    <mergeCell ref="Q262:S262"/>
    <mergeCell ref="B288:D288"/>
    <mergeCell ref="G288:I288"/>
    <mergeCell ref="L288:N288"/>
    <mergeCell ref="Q288:S288"/>
    <mergeCell ref="B314:D314"/>
    <mergeCell ref="G314:I314"/>
    <mergeCell ref="L314:N314"/>
    <mergeCell ref="Q314:S314"/>
    <mergeCell ref="B340:D340"/>
    <mergeCell ref="G340:I340"/>
    <mergeCell ref="L340:N340"/>
    <mergeCell ref="Q340:S340"/>
  </mergeCells>
  <pageMargins left="0.82677165354330717" right="0.51181102362204722" top="0.31496062992125984" bottom="0.74803149606299213" header="0.27559055118110237" footer="0.27559055118110237"/>
  <pageSetup paperSize="9" scale="84" orientation="portrait" r:id="rId1"/>
  <rowBreaks count="6" manualBreakCount="6">
    <brk id="52" max="16383" man="1"/>
    <brk id="104" max="19" man="1"/>
    <brk id="156" max="16383" man="1"/>
    <brk id="208" max="19" man="1"/>
    <brk id="260" max="19" man="1"/>
    <brk id="312" max="19" man="1"/>
  </rowBreaks>
  <colBreaks count="3" manualBreakCount="3">
    <brk id="5" max="1048575" man="1"/>
    <brk id="10" max="1048575" man="1"/>
    <brk id="15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Planilha5"/>
  <dimension ref="A1:AZ527"/>
  <sheetViews>
    <sheetView topLeftCell="C5" zoomScale="85" zoomScaleNormal="85" workbookViewId="0">
      <selection activeCell="R56" sqref="R56:S64"/>
    </sheetView>
  </sheetViews>
  <sheetFormatPr defaultRowHeight="15" x14ac:dyDescent="0.25"/>
  <cols>
    <col min="1" max="1" width="4" style="89" customWidth="1"/>
    <col min="2" max="2" width="31.28515625" bestFit="1" customWidth="1"/>
    <col min="3" max="3" width="43" bestFit="1" customWidth="1"/>
    <col min="4" max="4" width="25.7109375" customWidth="1"/>
    <col min="5" max="6" width="4" style="89" customWidth="1"/>
    <col min="7" max="7" width="31.28515625" bestFit="1" customWidth="1"/>
    <col min="8" max="8" width="43" bestFit="1" customWidth="1"/>
    <col min="9" max="9" width="25.7109375" customWidth="1"/>
    <col min="10" max="11" width="4" style="89" customWidth="1"/>
    <col min="12" max="12" width="25.42578125" style="89" customWidth="1"/>
    <col min="13" max="13" width="31.28515625" bestFit="1" customWidth="1"/>
    <col min="14" max="14" width="37.85546875" customWidth="1"/>
    <col min="15" max="15" width="10.42578125" customWidth="1"/>
    <col min="16" max="17" width="4" style="89" customWidth="1"/>
    <col min="18" max="18" width="31.28515625" bestFit="1" customWidth="1"/>
    <col min="19" max="19" width="43" bestFit="1" customWidth="1"/>
    <col min="20" max="20" width="25.7109375" customWidth="1"/>
    <col min="21" max="21" width="4" style="89" customWidth="1"/>
    <col min="22" max="52" width="9.140625" style="89"/>
  </cols>
  <sheetData>
    <row r="1" spans="2:20" s="89" customFormat="1" ht="15" customHeight="1" x14ac:dyDescent="0.25"/>
    <row r="2" spans="2:20" ht="15" customHeight="1" x14ac:dyDescent="0.25">
      <c r="B2" s="135" t="s">
        <v>968</v>
      </c>
      <c r="C2" s="135"/>
      <c r="D2" s="135"/>
      <c r="G2" s="135" t="s">
        <v>968</v>
      </c>
      <c r="H2" s="135"/>
      <c r="I2" s="135"/>
      <c r="L2" s="135" t="s">
        <v>968</v>
      </c>
      <c r="M2" s="135"/>
      <c r="N2" s="135"/>
      <c r="O2" s="89"/>
      <c r="R2" s="135" t="s">
        <v>968</v>
      </c>
      <c r="S2" s="135"/>
      <c r="T2" s="135"/>
    </row>
    <row r="3" spans="2:20" ht="15" customHeight="1" x14ac:dyDescent="0.25">
      <c r="B3" s="135"/>
      <c r="C3" s="135"/>
      <c r="D3" s="135"/>
      <c r="G3" s="135"/>
      <c r="H3" s="135"/>
      <c r="I3" s="135"/>
      <c r="L3" s="135"/>
      <c r="M3" s="135"/>
      <c r="N3" s="135"/>
      <c r="O3" s="89"/>
      <c r="R3" s="135"/>
      <c r="S3" s="135"/>
      <c r="T3" s="135"/>
    </row>
    <row r="4" spans="2:20" ht="15" customHeight="1" x14ac:dyDescent="0.25">
      <c r="B4" s="135"/>
      <c r="C4" s="135"/>
      <c r="D4" s="135"/>
      <c r="G4" s="135"/>
      <c r="H4" s="135"/>
      <c r="I4" s="135"/>
      <c r="L4" s="135"/>
      <c r="M4" s="135"/>
      <c r="N4" s="135"/>
      <c r="O4" s="89"/>
      <c r="R4" s="135"/>
      <c r="S4" s="135"/>
      <c r="T4" s="135"/>
    </row>
    <row r="5" spans="2:20" ht="15" customHeight="1" x14ac:dyDescent="0.25">
      <c r="B5" s="135"/>
      <c r="C5" s="135"/>
      <c r="D5" s="135"/>
      <c r="G5" s="135"/>
      <c r="H5" s="135"/>
      <c r="I5" s="135"/>
      <c r="L5" s="135"/>
      <c r="M5" s="135"/>
      <c r="N5" s="135"/>
      <c r="O5" s="89"/>
      <c r="R5" s="135"/>
      <c r="S5" s="135"/>
      <c r="T5" s="135"/>
    </row>
    <row r="6" spans="2:20" ht="15" customHeight="1" x14ac:dyDescent="0.25">
      <c r="B6" s="135"/>
      <c r="C6" s="135"/>
      <c r="D6" s="135"/>
      <c r="G6" s="135"/>
      <c r="H6" s="135"/>
      <c r="I6" s="135"/>
      <c r="L6" s="135"/>
      <c r="M6" s="135"/>
      <c r="N6" s="135"/>
      <c r="O6" s="89"/>
      <c r="R6" s="135"/>
      <c r="S6" s="135"/>
      <c r="T6" s="135"/>
    </row>
    <row r="7" spans="2:20" ht="48.75" customHeight="1" x14ac:dyDescent="0.25">
      <c r="B7" s="135"/>
      <c r="C7" s="135"/>
      <c r="D7" s="135"/>
      <c r="G7" s="135"/>
      <c r="H7" s="135"/>
      <c r="I7" s="135"/>
      <c r="L7" s="135"/>
      <c r="M7" s="135"/>
      <c r="N7" s="135"/>
      <c r="O7" s="89"/>
      <c r="R7" s="135"/>
      <c r="S7" s="135"/>
      <c r="T7" s="135"/>
    </row>
    <row r="8" spans="2:20" ht="15" customHeight="1" x14ac:dyDescent="0.25">
      <c r="B8" s="85"/>
      <c r="C8" s="84"/>
      <c r="D8" s="83"/>
      <c r="G8" s="85"/>
      <c r="H8" s="84"/>
      <c r="I8" s="83"/>
      <c r="L8" s="85"/>
      <c r="M8" s="84"/>
      <c r="N8" s="83"/>
      <c r="O8" s="89"/>
      <c r="R8" s="85"/>
      <c r="S8" s="84"/>
      <c r="T8" s="83"/>
    </row>
    <row r="9" spans="2:20" ht="27" x14ac:dyDescent="0.25">
      <c r="B9" s="87">
        <v>1</v>
      </c>
      <c r="C9" s="88" t="str">
        <f t="shared" ref="C9:C16" si="0">C25</f>
        <v>CARANGOLA - 234</v>
      </c>
      <c r="D9" s="86"/>
      <c r="G9" s="87">
        <v>1</v>
      </c>
      <c r="H9" s="88" t="str">
        <f>H25</f>
        <v>PADRE PARAISO - 139</v>
      </c>
      <c r="I9" s="86"/>
      <c r="L9" s="87">
        <v>1</v>
      </c>
      <c r="M9" s="88" t="str">
        <f>M25</f>
        <v>UNAI - 56</v>
      </c>
      <c r="N9" s="86"/>
      <c r="O9" s="89"/>
      <c r="R9" s="87">
        <v>1</v>
      </c>
      <c r="S9" s="88">
        <f t="shared" ref="S9:S19" si="1">S25</f>
        <v>0</v>
      </c>
      <c r="T9" s="86"/>
    </row>
    <row r="10" spans="2:20" ht="27" x14ac:dyDescent="0.25">
      <c r="B10" s="87">
        <f t="shared" ref="B10:B16" si="2">B9+1</f>
        <v>2</v>
      </c>
      <c r="C10" s="88" t="str">
        <f t="shared" si="0"/>
        <v>ALMOÇO</v>
      </c>
      <c r="D10" s="86"/>
      <c r="G10" s="87">
        <f>G9+1</f>
        <v>2</v>
      </c>
      <c r="H10" s="88" t="str">
        <f>H26</f>
        <v>ITAIPE - 453</v>
      </c>
      <c r="I10" s="86"/>
      <c r="L10" s="87">
        <f>L9+1</f>
        <v>2</v>
      </c>
      <c r="M10" s="88" t="str">
        <f>M26</f>
        <v>BURITIS - 122</v>
      </c>
      <c r="N10" s="86"/>
      <c r="O10" s="89"/>
      <c r="R10" s="87">
        <f t="shared" ref="R10:R19" si="3">R9+1</f>
        <v>2</v>
      </c>
      <c r="S10" s="88">
        <f t="shared" si="1"/>
        <v>0</v>
      </c>
      <c r="T10" s="86"/>
    </row>
    <row r="11" spans="2:20" ht="27" x14ac:dyDescent="0.25">
      <c r="B11" s="87">
        <f t="shared" si="2"/>
        <v>3</v>
      </c>
      <c r="C11" s="88" t="str">
        <f t="shared" si="0"/>
        <v>AFONSO CLAUDIO - 331</v>
      </c>
      <c r="D11" s="86"/>
      <c r="G11" s="87">
        <f>G10+1</f>
        <v>3</v>
      </c>
      <c r="H11" s="88" t="str">
        <f>H27</f>
        <v>NOVO CRUZEIRO - 137</v>
      </c>
      <c r="I11" s="86"/>
      <c r="L11" s="87"/>
      <c r="M11" s="88"/>
      <c r="N11" s="86"/>
      <c r="O11" s="89"/>
      <c r="R11" s="87">
        <f t="shared" si="3"/>
        <v>3</v>
      </c>
      <c r="S11" s="88">
        <f t="shared" si="1"/>
        <v>0</v>
      </c>
      <c r="T11" s="86"/>
    </row>
    <row r="12" spans="2:20" ht="27" x14ac:dyDescent="0.25">
      <c r="B12" s="87">
        <f t="shared" si="2"/>
        <v>4</v>
      </c>
      <c r="C12" s="88" t="str">
        <f t="shared" si="0"/>
        <v>CASTELO - 448</v>
      </c>
      <c r="D12" s="86"/>
      <c r="G12" s="87"/>
      <c r="H12" s="88"/>
      <c r="I12" s="86"/>
      <c r="L12" s="87"/>
      <c r="M12" s="88"/>
      <c r="N12" s="86"/>
      <c r="O12" s="89"/>
      <c r="R12" s="87">
        <f t="shared" si="3"/>
        <v>4</v>
      </c>
      <c r="S12" s="88">
        <f t="shared" si="1"/>
        <v>0</v>
      </c>
      <c r="T12" s="86"/>
    </row>
    <row r="13" spans="2:20" ht="27" x14ac:dyDescent="0.25">
      <c r="B13" s="87">
        <f t="shared" si="2"/>
        <v>5</v>
      </c>
      <c r="C13" s="88" t="str">
        <f t="shared" si="0"/>
        <v>ANCHIETA - 441</v>
      </c>
      <c r="D13" s="86"/>
      <c r="G13" s="87"/>
      <c r="H13" s="88"/>
      <c r="I13" s="86"/>
      <c r="L13" s="87"/>
      <c r="M13" s="88"/>
      <c r="N13" s="86"/>
      <c r="O13" s="89"/>
      <c r="R13" s="87">
        <f t="shared" si="3"/>
        <v>5</v>
      </c>
      <c r="S13" s="88">
        <f t="shared" si="1"/>
        <v>0</v>
      </c>
      <c r="T13" s="86"/>
    </row>
    <row r="14" spans="2:20" ht="27" x14ac:dyDescent="0.25">
      <c r="B14" s="87">
        <f t="shared" si="2"/>
        <v>6</v>
      </c>
      <c r="C14" s="88" t="str">
        <f t="shared" si="0"/>
        <v>MARATAIZES - 424</v>
      </c>
      <c r="D14" s="86"/>
      <c r="G14" s="87"/>
      <c r="H14" s="88"/>
      <c r="I14" s="86"/>
      <c r="L14" s="87"/>
      <c r="M14" s="88"/>
      <c r="N14" s="86"/>
      <c r="O14" s="89"/>
      <c r="R14" s="87">
        <f t="shared" si="3"/>
        <v>6</v>
      </c>
      <c r="S14" s="88">
        <f t="shared" si="1"/>
        <v>0</v>
      </c>
      <c r="T14" s="86"/>
    </row>
    <row r="15" spans="2:20" ht="27" x14ac:dyDescent="0.25">
      <c r="B15" s="87">
        <f t="shared" si="2"/>
        <v>7</v>
      </c>
      <c r="C15" s="88" t="str">
        <f t="shared" si="0"/>
        <v>ITAPEMIRIM - 392</v>
      </c>
      <c r="D15" s="86"/>
      <c r="G15" s="87"/>
      <c r="H15" s="88"/>
      <c r="I15" s="86"/>
      <c r="L15" s="87"/>
      <c r="M15" s="88"/>
      <c r="N15" s="86"/>
      <c r="O15" s="89"/>
      <c r="R15" s="87">
        <f t="shared" si="3"/>
        <v>7</v>
      </c>
      <c r="S15" s="88">
        <f t="shared" si="1"/>
        <v>0</v>
      </c>
      <c r="T15" s="86"/>
    </row>
    <row r="16" spans="2:20" ht="27" x14ac:dyDescent="0.25">
      <c r="B16" s="87">
        <f t="shared" si="2"/>
        <v>8</v>
      </c>
      <c r="C16" s="88" t="str">
        <f t="shared" si="0"/>
        <v>CARREGAMENTO</v>
      </c>
      <c r="D16" s="86"/>
      <c r="G16" s="87"/>
      <c r="H16" s="88"/>
      <c r="I16" s="86"/>
      <c r="L16" s="87"/>
      <c r="M16" s="88"/>
      <c r="N16" s="86"/>
      <c r="O16" s="89"/>
      <c r="R16" s="87">
        <f t="shared" si="3"/>
        <v>8</v>
      </c>
      <c r="S16" s="88">
        <f t="shared" si="1"/>
        <v>0</v>
      </c>
      <c r="T16" s="86"/>
    </row>
    <row r="17" spans="2:20" ht="27" x14ac:dyDescent="0.25">
      <c r="B17" s="87"/>
      <c r="C17" s="88"/>
      <c r="D17" s="82"/>
      <c r="G17" s="87"/>
      <c r="H17" s="88"/>
      <c r="I17" s="82"/>
      <c r="L17" s="87"/>
      <c r="M17" s="88"/>
      <c r="N17" s="82"/>
      <c r="O17" s="89"/>
      <c r="R17" s="87">
        <f t="shared" si="3"/>
        <v>9</v>
      </c>
      <c r="S17" s="88">
        <f t="shared" si="1"/>
        <v>0</v>
      </c>
      <c r="T17" s="82"/>
    </row>
    <row r="18" spans="2:20" ht="27" x14ac:dyDescent="0.25">
      <c r="B18" s="87"/>
      <c r="C18" s="88"/>
      <c r="D18" s="82"/>
      <c r="G18" s="87"/>
      <c r="H18" s="88"/>
      <c r="I18" s="82"/>
      <c r="L18" s="87"/>
      <c r="M18" s="88"/>
      <c r="N18" s="82"/>
      <c r="O18" s="89"/>
      <c r="R18" s="87">
        <f t="shared" si="3"/>
        <v>10</v>
      </c>
      <c r="S18" s="88">
        <f t="shared" si="1"/>
        <v>0</v>
      </c>
      <c r="T18" s="82"/>
    </row>
    <row r="19" spans="2:20" s="89" customFormat="1" ht="27" x14ac:dyDescent="0.25">
      <c r="B19" s="87"/>
      <c r="C19" s="88"/>
      <c r="D19" s="92"/>
      <c r="G19" s="87"/>
      <c r="H19" s="88"/>
      <c r="I19" s="92"/>
      <c r="L19" s="87"/>
      <c r="M19" s="88"/>
      <c r="N19" s="92"/>
      <c r="R19" s="87">
        <f t="shared" si="3"/>
        <v>11</v>
      </c>
      <c r="S19" s="88">
        <f t="shared" si="1"/>
        <v>0</v>
      </c>
      <c r="T19" s="92"/>
    </row>
    <row r="20" spans="2:20" s="89" customFormat="1" ht="15.75" customHeight="1" x14ac:dyDescent="0.25"/>
    <row r="21" spans="2:20" ht="15.75" customHeight="1" x14ac:dyDescent="0.25">
      <c r="B21" s="89"/>
      <c r="C21" s="89"/>
      <c r="D21" s="89"/>
      <c r="G21" s="89"/>
      <c r="H21" s="89"/>
      <c r="I21" s="89"/>
      <c r="M21" s="89"/>
      <c r="N21" s="89"/>
      <c r="O21" s="89"/>
      <c r="R21" s="89"/>
      <c r="S21" s="89"/>
      <c r="T21" s="89"/>
    </row>
    <row r="22" spans="2:20" ht="19.5" customHeight="1" x14ac:dyDescent="0.25">
      <c r="B22" s="131" t="s">
        <v>834</v>
      </c>
      <c r="C22" s="132"/>
      <c r="D22" s="133"/>
      <c r="G22" s="131" t="s">
        <v>834</v>
      </c>
      <c r="H22" s="132"/>
      <c r="I22" s="133"/>
      <c r="L22" s="131" t="s">
        <v>834</v>
      </c>
      <c r="M22" s="132"/>
      <c r="N22" s="133"/>
      <c r="O22" s="89"/>
      <c r="R22" s="131" t="s">
        <v>834</v>
      </c>
      <c r="S22" s="132"/>
      <c r="T22" s="133"/>
    </row>
    <row r="23" spans="2:20" x14ac:dyDescent="0.25">
      <c r="B23" s="107" t="s">
        <v>872</v>
      </c>
      <c r="C23" s="103" t="s">
        <v>557</v>
      </c>
      <c r="D23" s="114" t="s">
        <v>26</v>
      </c>
      <c r="G23" s="112" t="s">
        <v>937</v>
      </c>
      <c r="H23" s="103" t="s">
        <v>741</v>
      </c>
      <c r="I23" s="114" t="s">
        <v>844</v>
      </c>
      <c r="L23" s="112" t="s">
        <v>857</v>
      </c>
      <c r="M23" s="103" t="s">
        <v>451</v>
      </c>
      <c r="N23" s="114" t="s">
        <v>843</v>
      </c>
      <c r="O23" s="89"/>
      <c r="R23" s="55"/>
      <c r="S23" s="56"/>
      <c r="T23" s="57"/>
    </row>
    <row r="24" spans="2:20" x14ac:dyDescent="0.25">
      <c r="B24" s="108"/>
      <c r="C24" s="97"/>
      <c r="D24" s="97"/>
      <c r="G24" s="116"/>
      <c r="H24" s="97"/>
      <c r="I24" s="97"/>
      <c r="L24" s="116"/>
      <c r="M24" s="97"/>
      <c r="N24" s="97"/>
      <c r="O24" s="89"/>
      <c r="R24" s="59"/>
      <c r="S24" s="60"/>
      <c r="T24" s="61"/>
    </row>
    <row r="25" spans="2:20" x14ac:dyDescent="0.25">
      <c r="B25" s="117">
        <v>45698</v>
      </c>
      <c r="C25" s="100" t="s">
        <v>873</v>
      </c>
      <c r="D25" s="94">
        <v>0.33333333333333331</v>
      </c>
      <c r="G25" s="95">
        <v>45698</v>
      </c>
      <c r="H25" s="101" t="s">
        <v>938</v>
      </c>
      <c r="I25" s="94">
        <v>0.33333333333333331</v>
      </c>
      <c r="L25" s="95">
        <v>45698</v>
      </c>
      <c r="M25" s="100" t="s">
        <v>840</v>
      </c>
      <c r="N25" s="94">
        <v>0.25</v>
      </c>
      <c r="O25" s="89"/>
      <c r="R25" s="59"/>
      <c r="S25" s="63"/>
      <c r="T25" s="61"/>
    </row>
    <row r="26" spans="2:20" x14ac:dyDescent="0.25">
      <c r="B26" s="117">
        <v>45698</v>
      </c>
      <c r="C26" s="119" t="s">
        <v>835</v>
      </c>
      <c r="D26" s="120" t="s">
        <v>837</v>
      </c>
      <c r="G26" s="95">
        <v>45698</v>
      </c>
      <c r="H26" s="100" t="s">
        <v>939</v>
      </c>
      <c r="I26" s="94">
        <v>0.4375</v>
      </c>
      <c r="L26" s="95">
        <v>45698</v>
      </c>
      <c r="M26" s="101" t="s">
        <v>850</v>
      </c>
      <c r="N26" s="94">
        <v>0.45833333333333331</v>
      </c>
      <c r="O26" s="89"/>
      <c r="R26" s="59"/>
      <c r="S26" s="64"/>
      <c r="T26" s="61"/>
    </row>
    <row r="27" spans="2:20" x14ac:dyDescent="0.25">
      <c r="B27" s="117">
        <v>45698</v>
      </c>
      <c r="C27" s="106" t="s">
        <v>874</v>
      </c>
      <c r="D27" s="94">
        <v>0.5625</v>
      </c>
      <c r="G27" s="95">
        <v>45698</v>
      </c>
      <c r="H27" s="100" t="s">
        <v>940</v>
      </c>
      <c r="I27" s="94">
        <v>0.54166666666666663</v>
      </c>
      <c r="L27" s="96"/>
      <c r="M27" s="100"/>
      <c r="N27" s="94"/>
      <c r="O27" s="89"/>
      <c r="R27" s="59"/>
      <c r="S27" s="65"/>
      <c r="T27" s="61"/>
    </row>
    <row r="28" spans="2:20" x14ac:dyDescent="0.25">
      <c r="B28" s="117">
        <v>45698</v>
      </c>
      <c r="C28" s="100" t="s">
        <v>875</v>
      </c>
      <c r="D28" s="94">
        <v>0.6875</v>
      </c>
      <c r="G28" s="96"/>
      <c r="H28" s="100"/>
      <c r="I28" s="94"/>
      <c r="L28" s="96"/>
      <c r="M28" s="100"/>
      <c r="N28" s="94"/>
      <c r="O28" s="89"/>
      <c r="R28" s="59"/>
      <c r="S28" s="66"/>
      <c r="T28" s="61"/>
    </row>
    <row r="29" spans="2:20" x14ac:dyDescent="0.25">
      <c r="B29" s="115">
        <v>45699</v>
      </c>
      <c r="C29" s="100" t="s">
        <v>876</v>
      </c>
      <c r="D29" s="94">
        <v>0.33333333333333331</v>
      </c>
      <c r="G29" s="96"/>
      <c r="H29" s="98"/>
      <c r="I29" s="94"/>
      <c r="L29" s="96"/>
      <c r="M29" s="98"/>
      <c r="N29" s="94"/>
      <c r="O29" s="89"/>
      <c r="R29" s="59"/>
      <c r="S29" s="65"/>
      <c r="T29" s="61"/>
    </row>
    <row r="30" spans="2:20" x14ac:dyDescent="0.25">
      <c r="B30" s="115">
        <v>45699</v>
      </c>
      <c r="C30" s="100" t="s">
        <v>877</v>
      </c>
      <c r="D30" s="94">
        <v>0.45833333333333331</v>
      </c>
      <c r="G30" s="96"/>
      <c r="H30" s="98"/>
      <c r="I30" s="94"/>
      <c r="L30" s="96"/>
      <c r="M30" s="98"/>
      <c r="N30" s="94"/>
      <c r="O30" s="89"/>
      <c r="R30" s="59"/>
      <c r="S30" s="67"/>
      <c r="T30" s="61"/>
    </row>
    <row r="31" spans="2:20" x14ac:dyDescent="0.25">
      <c r="B31" s="115">
        <v>45699</v>
      </c>
      <c r="C31" s="100" t="s">
        <v>878</v>
      </c>
      <c r="D31" s="94">
        <v>0.58333333333333337</v>
      </c>
      <c r="G31" s="96"/>
      <c r="H31" s="99"/>
      <c r="I31" s="94"/>
      <c r="L31" s="96"/>
      <c r="M31" s="99"/>
      <c r="N31" s="94"/>
      <c r="O31" s="89"/>
      <c r="R31" s="59"/>
      <c r="S31" s="63"/>
      <c r="T31" s="61"/>
    </row>
    <row r="32" spans="2:20" x14ac:dyDescent="0.25">
      <c r="B32" s="123">
        <v>45700</v>
      </c>
      <c r="C32" s="121" t="s">
        <v>836</v>
      </c>
      <c r="D32" s="122" t="s">
        <v>860</v>
      </c>
      <c r="G32" s="96"/>
      <c r="H32" s="99"/>
      <c r="I32" s="94"/>
      <c r="L32" s="96"/>
      <c r="M32" s="99"/>
      <c r="N32" s="94"/>
      <c r="O32" s="89"/>
      <c r="R32" s="59"/>
      <c r="S32" s="65"/>
      <c r="T32" s="61"/>
    </row>
    <row r="33" spans="2:20" x14ac:dyDescent="0.25">
      <c r="B33" s="125"/>
      <c r="C33" s="99"/>
      <c r="D33" s="94"/>
      <c r="G33" s="96"/>
      <c r="H33" s="99"/>
      <c r="I33" s="94"/>
      <c r="L33" s="96"/>
      <c r="M33" s="99"/>
      <c r="N33" s="94"/>
      <c r="O33" s="89"/>
      <c r="R33" s="59"/>
      <c r="S33" s="63"/>
      <c r="T33" s="61"/>
    </row>
    <row r="34" spans="2:20" x14ac:dyDescent="0.25">
      <c r="B34" s="109" t="s">
        <v>381</v>
      </c>
      <c r="C34" s="110"/>
      <c r="D34" s="111" t="str">
        <f>VLOOKUP(C23,'BANCO DE DADOS'!$B$2:$D$260,3,FALSE)</f>
        <v>(34) 9 9175-8193</v>
      </c>
      <c r="G34" s="113" t="s">
        <v>381</v>
      </c>
      <c r="H34" s="110"/>
      <c r="I34" s="111" t="str">
        <f>VLOOKUP(H23,'BANCO DE DADOS'!$B$2:$D$260,3,FALSE)</f>
        <v>(34) 9 9241-7671</v>
      </c>
      <c r="L34" s="113" t="s">
        <v>381</v>
      </c>
      <c r="M34" s="110"/>
      <c r="N34" s="111" t="str">
        <f>VLOOKUP(M23,'BANCO DE DADOS'!$B$2:$D$260,3,FALSE)</f>
        <v>(34) 9 8849-5822</v>
      </c>
      <c r="O34" s="89"/>
      <c r="R34" s="59"/>
      <c r="S34" s="63"/>
      <c r="T34" s="68"/>
    </row>
    <row r="35" spans="2:20" x14ac:dyDescent="0.25">
      <c r="B35" s="59"/>
      <c r="C35" s="63"/>
      <c r="D35" s="61"/>
      <c r="G35" s="59"/>
      <c r="H35" s="63"/>
      <c r="I35" s="61"/>
      <c r="L35" s="59"/>
      <c r="M35" s="63"/>
      <c r="N35" s="61"/>
      <c r="O35" s="89"/>
      <c r="R35" s="59"/>
      <c r="S35" s="63"/>
      <c r="T35" s="61"/>
    </row>
    <row r="36" spans="2:20" x14ac:dyDescent="0.25">
      <c r="B36" s="59"/>
      <c r="C36" s="63"/>
      <c r="D36" s="61"/>
      <c r="G36" s="59"/>
      <c r="H36" s="63"/>
      <c r="I36" s="61"/>
      <c r="L36" s="59"/>
      <c r="M36" s="63"/>
      <c r="N36" s="61"/>
      <c r="O36" s="89"/>
      <c r="R36" s="59"/>
      <c r="S36" s="63"/>
      <c r="T36" s="61"/>
    </row>
    <row r="37" spans="2:20" x14ac:dyDescent="0.25">
      <c r="B37" s="59"/>
      <c r="C37" s="66"/>
      <c r="D37" s="61"/>
      <c r="G37" s="59"/>
      <c r="H37" s="66"/>
      <c r="I37" s="61"/>
      <c r="L37" s="59"/>
      <c r="M37" s="66"/>
      <c r="N37" s="61"/>
      <c r="O37" s="89"/>
      <c r="R37" s="59"/>
      <c r="S37" s="66"/>
      <c r="T37" s="61"/>
    </row>
    <row r="38" spans="2:20" x14ac:dyDescent="0.25">
      <c r="B38" s="59"/>
      <c r="C38" s="63"/>
      <c r="D38" s="61"/>
      <c r="G38" s="59"/>
      <c r="H38" s="63"/>
      <c r="I38" s="61"/>
      <c r="L38" s="59"/>
      <c r="M38" s="63"/>
      <c r="N38" s="61"/>
      <c r="O38" s="89"/>
      <c r="R38" s="59"/>
      <c r="S38" s="63"/>
      <c r="T38" s="61"/>
    </row>
    <row r="39" spans="2:20" x14ac:dyDescent="0.25">
      <c r="B39" s="59"/>
      <c r="C39" s="63"/>
      <c r="D39" s="68"/>
      <c r="G39" s="59"/>
      <c r="H39" s="63"/>
      <c r="I39" s="68"/>
      <c r="L39" s="59"/>
      <c r="M39" s="63"/>
      <c r="N39" s="68"/>
      <c r="O39" s="89"/>
      <c r="R39" s="59"/>
      <c r="S39" s="63"/>
      <c r="T39" s="68"/>
    </row>
    <row r="40" spans="2:20" x14ac:dyDescent="0.25">
      <c r="B40" s="59"/>
      <c r="C40" s="63"/>
      <c r="D40" s="68"/>
      <c r="G40" s="59"/>
      <c r="H40" s="63"/>
      <c r="I40" s="68"/>
      <c r="L40" s="59"/>
      <c r="M40" s="63"/>
      <c r="N40" s="68"/>
      <c r="O40" s="89"/>
      <c r="R40" s="59"/>
      <c r="S40" s="63"/>
      <c r="T40" s="68"/>
    </row>
    <row r="41" spans="2:20" x14ac:dyDescent="0.25">
      <c r="B41" s="70"/>
      <c r="C41" s="71"/>
      <c r="D41" s="61"/>
      <c r="G41" s="70"/>
      <c r="H41" s="71"/>
      <c r="I41" s="61"/>
      <c r="L41" s="70"/>
      <c r="M41" s="71"/>
      <c r="N41" s="61"/>
      <c r="O41" s="89"/>
      <c r="R41" s="70"/>
      <c r="S41" s="71"/>
      <c r="T41" s="61"/>
    </row>
    <row r="42" spans="2:20" x14ac:dyDescent="0.25">
      <c r="B42" s="70"/>
      <c r="C42" s="60"/>
      <c r="D42" s="68"/>
      <c r="G42" s="70"/>
      <c r="H42" s="60"/>
      <c r="I42" s="68"/>
      <c r="L42" s="70"/>
      <c r="M42" s="60"/>
      <c r="N42" s="68"/>
      <c r="O42" s="89"/>
      <c r="R42" s="70"/>
      <c r="S42" s="60"/>
      <c r="T42" s="68"/>
    </row>
    <row r="43" spans="2:20" x14ac:dyDescent="0.25">
      <c r="B43" s="70"/>
      <c r="C43" s="38"/>
      <c r="D43" s="68"/>
      <c r="G43" s="70"/>
      <c r="H43" s="38"/>
      <c r="I43" s="68"/>
      <c r="L43" s="70"/>
      <c r="M43" s="38"/>
      <c r="N43" s="68"/>
      <c r="O43" s="89"/>
      <c r="R43" s="70"/>
      <c r="S43" s="38"/>
      <c r="T43" s="68"/>
    </row>
    <row r="44" spans="2:20" s="89" customFormat="1" ht="15.75" customHeight="1" x14ac:dyDescent="0.25">
      <c r="B44" s="72"/>
      <c r="C44" s="73"/>
      <c r="D44" s="74"/>
      <c r="G44" s="72"/>
      <c r="H44" s="73"/>
      <c r="I44" s="74"/>
      <c r="L44" s="72"/>
      <c r="M44" s="73"/>
      <c r="N44" s="74"/>
      <c r="R44" s="72"/>
      <c r="S44" s="73"/>
      <c r="T44" s="74"/>
    </row>
    <row r="45" spans="2:20" s="89" customFormat="1" x14ac:dyDescent="0.25">
      <c r="B45" s="90"/>
      <c r="C45" s="91"/>
      <c r="D45" s="93"/>
      <c r="G45" s="90"/>
      <c r="H45" s="91"/>
      <c r="I45" s="93"/>
      <c r="L45" s="90"/>
      <c r="M45" s="91"/>
      <c r="N45" s="93"/>
      <c r="R45" s="90"/>
      <c r="S45" s="91"/>
      <c r="T45" s="93"/>
    </row>
    <row r="46" spans="2:20" s="89" customFormat="1" x14ac:dyDescent="0.25">
      <c r="B46" s="90"/>
      <c r="C46" s="91"/>
      <c r="D46" s="81"/>
      <c r="G46" s="90"/>
      <c r="H46" s="91"/>
      <c r="I46" s="81"/>
      <c r="L46" s="90"/>
      <c r="M46" s="91"/>
      <c r="N46" s="81"/>
      <c r="R46" s="90"/>
      <c r="S46" s="91"/>
      <c r="T46" s="81"/>
    </row>
    <row r="47" spans="2:20" ht="34.5" customHeight="1" x14ac:dyDescent="0.25">
      <c r="B47" s="134" t="s">
        <v>968</v>
      </c>
      <c r="C47" s="134"/>
      <c r="D47" s="134"/>
      <c r="G47" s="134" t="s">
        <v>968</v>
      </c>
      <c r="H47" s="134"/>
      <c r="I47" s="134"/>
      <c r="L47" s="134" t="s">
        <v>968</v>
      </c>
      <c r="M47" s="134"/>
      <c r="N47" s="134"/>
      <c r="O47" s="89"/>
      <c r="R47" s="134" t="s">
        <v>968</v>
      </c>
      <c r="S47" s="134"/>
      <c r="T47" s="134"/>
    </row>
    <row r="48" spans="2:20" ht="15" customHeight="1" x14ac:dyDescent="0.25">
      <c r="B48" s="134"/>
      <c r="C48" s="134"/>
      <c r="D48" s="134"/>
      <c r="G48" s="134"/>
      <c r="H48" s="134"/>
      <c r="I48" s="134"/>
      <c r="L48" s="134"/>
      <c r="M48" s="134"/>
      <c r="N48" s="134"/>
      <c r="O48" s="89"/>
      <c r="R48" s="134"/>
      <c r="S48" s="134"/>
      <c r="T48" s="134"/>
    </row>
    <row r="49" spans="2:20" ht="15" customHeight="1" x14ac:dyDescent="0.25">
      <c r="B49" s="134"/>
      <c r="C49" s="134"/>
      <c r="D49" s="134"/>
      <c r="G49" s="134"/>
      <c r="H49" s="134"/>
      <c r="I49" s="134"/>
      <c r="L49" s="134"/>
      <c r="M49" s="134"/>
      <c r="N49" s="134"/>
      <c r="O49" s="89"/>
      <c r="R49" s="134"/>
      <c r="S49" s="134"/>
      <c r="T49" s="134"/>
    </row>
    <row r="50" spans="2:20" ht="15" customHeight="1" x14ac:dyDescent="0.25">
      <c r="B50" s="134"/>
      <c r="C50" s="134"/>
      <c r="D50" s="134"/>
      <c r="G50" s="134"/>
      <c r="H50" s="134"/>
      <c r="I50" s="134"/>
      <c r="L50" s="134"/>
      <c r="M50" s="134"/>
      <c r="N50" s="134"/>
      <c r="O50" s="89"/>
      <c r="R50" s="134"/>
      <c r="S50" s="134"/>
      <c r="T50" s="134"/>
    </row>
    <row r="51" spans="2:20" ht="15" customHeight="1" x14ac:dyDescent="0.25">
      <c r="B51" s="134"/>
      <c r="C51" s="134"/>
      <c r="D51" s="134"/>
      <c r="G51" s="134"/>
      <c r="H51" s="134"/>
      <c r="I51" s="134"/>
      <c r="L51" s="134"/>
      <c r="M51" s="134"/>
      <c r="N51" s="134"/>
      <c r="O51" s="89"/>
      <c r="R51" s="134"/>
      <c r="S51" s="134"/>
      <c r="T51" s="134"/>
    </row>
    <row r="52" spans="2:20" ht="24.75" customHeight="1" x14ac:dyDescent="0.25">
      <c r="B52" s="134"/>
      <c r="C52" s="134"/>
      <c r="D52" s="134"/>
      <c r="G52" s="134"/>
      <c r="H52" s="134"/>
      <c r="I52" s="134"/>
      <c r="L52" s="134"/>
      <c r="M52" s="134"/>
      <c r="N52" s="134"/>
      <c r="O52" s="89"/>
      <c r="R52" s="134"/>
      <c r="S52" s="134"/>
      <c r="T52" s="134"/>
    </row>
    <row r="53" spans="2:20" ht="15" customHeight="1" x14ac:dyDescent="0.25">
      <c r="B53" s="85"/>
      <c r="C53" s="84"/>
      <c r="D53" s="83"/>
      <c r="G53" s="85"/>
      <c r="H53" s="84"/>
      <c r="I53" s="83"/>
      <c r="L53" s="85"/>
      <c r="M53" s="84"/>
      <c r="N53" s="83"/>
      <c r="O53" s="89"/>
      <c r="R53" s="85"/>
      <c r="S53" s="84"/>
      <c r="T53" s="83"/>
    </row>
    <row r="54" spans="2:20" ht="27" x14ac:dyDescent="0.25">
      <c r="B54" s="87">
        <v>1</v>
      </c>
      <c r="C54" s="88" t="str">
        <f t="shared" ref="C54:C62" si="4">C70</f>
        <v>MATIPO - 214</v>
      </c>
      <c r="D54" s="86"/>
      <c r="G54" s="87">
        <v>1</v>
      </c>
      <c r="H54" s="88" t="str">
        <f>H70</f>
        <v>TEOFILO OTONI - 289</v>
      </c>
      <c r="I54" s="86"/>
      <c r="L54" s="87">
        <v>1</v>
      </c>
      <c r="M54" s="88" t="str">
        <f>M70</f>
        <v>LADAINHA - 549</v>
      </c>
      <c r="N54" s="86"/>
      <c r="O54" s="89"/>
      <c r="R54" s="87">
        <v>1</v>
      </c>
      <c r="S54" s="88" t="s">
        <v>969</v>
      </c>
      <c r="T54" s="86"/>
    </row>
    <row r="55" spans="2:20" ht="27" x14ac:dyDescent="0.25">
      <c r="B55" s="87">
        <f t="shared" ref="B55:B62" si="5">B54+1</f>
        <v>2</v>
      </c>
      <c r="C55" s="88" t="str">
        <f t="shared" si="4"/>
        <v>ABRE CAMPO - 335</v>
      </c>
      <c r="D55" s="86"/>
      <c r="G55" s="87">
        <f>G54+1</f>
        <v>2</v>
      </c>
      <c r="H55" s="88" t="str">
        <f>H71</f>
        <v>CARREGAMENTO</v>
      </c>
      <c r="I55" s="86"/>
      <c r="L55" s="87">
        <f>L54+1</f>
        <v>2</v>
      </c>
      <c r="M55" s="88" t="str">
        <f>M71</f>
        <v>CARAÍ - 550</v>
      </c>
      <c r="N55" s="86"/>
      <c r="O55" s="89"/>
      <c r="R55" s="87">
        <f>R54+1</f>
        <v>2</v>
      </c>
      <c r="S55" s="88" t="s">
        <v>970</v>
      </c>
      <c r="T55" s="86"/>
    </row>
    <row r="56" spans="2:20" ht="27" x14ac:dyDescent="0.25">
      <c r="B56" s="87">
        <f t="shared" si="5"/>
        <v>3</v>
      </c>
      <c r="C56" s="88" t="str">
        <f t="shared" si="4"/>
        <v>SANTA MARGARIDA - 433</v>
      </c>
      <c r="D56" s="86"/>
      <c r="G56" s="87"/>
      <c r="H56" s="88"/>
      <c r="I56" s="86"/>
      <c r="L56" s="87"/>
      <c r="M56" s="88"/>
      <c r="N56" s="86"/>
      <c r="O56" s="89"/>
      <c r="R56" s="87"/>
      <c r="S56" s="88"/>
      <c r="T56" s="86"/>
    </row>
    <row r="57" spans="2:20" ht="27" x14ac:dyDescent="0.25">
      <c r="B57" s="87">
        <f t="shared" si="5"/>
        <v>4</v>
      </c>
      <c r="C57" s="88" t="str">
        <f t="shared" si="4"/>
        <v>ALMOÇO</v>
      </c>
      <c r="D57" s="86"/>
      <c r="G57" s="87"/>
      <c r="H57" s="88"/>
      <c r="I57" s="86"/>
      <c r="L57" s="87"/>
      <c r="M57" s="88"/>
      <c r="N57" s="86"/>
      <c r="O57" s="89"/>
      <c r="R57" s="87"/>
      <c r="S57" s="88"/>
      <c r="T57" s="86"/>
    </row>
    <row r="58" spans="2:20" ht="27" x14ac:dyDescent="0.25">
      <c r="B58" s="87">
        <f t="shared" si="5"/>
        <v>5</v>
      </c>
      <c r="C58" s="88" t="str">
        <f t="shared" si="4"/>
        <v>IPANEMA - 282</v>
      </c>
      <c r="D58" s="86"/>
      <c r="G58" s="87"/>
      <c r="H58" s="88"/>
      <c r="I58" s="86"/>
      <c r="L58" s="87"/>
      <c r="M58" s="88"/>
      <c r="N58" s="86"/>
      <c r="O58" s="89"/>
      <c r="R58" s="87"/>
      <c r="S58" s="88"/>
      <c r="T58" s="86"/>
    </row>
    <row r="59" spans="2:20" ht="27" x14ac:dyDescent="0.25">
      <c r="B59" s="87">
        <f t="shared" si="5"/>
        <v>6</v>
      </c>
      <c r="C59" s="88" t="str">
        <f t="shared" si="4"/>
        <v>MANHUMIRIM - 232</v>
      </c>
      <c r="D59" s="86"/>
      <c r="G59" s="87"/>
      <c r="H59" s="88"/>
      <c r="I59" s="86"/>
      <c r="L59" s="87"/>
      <c r="M59" s="88"/>
      <c r="N59" s="86"/>
      <c r="O59" s="89"/>
      <c r="R59" s="87"/>
      <c r="S59" s="88"/>
      <c r="T59" s="86"/>
    </row>
    <row r="60" spans="2:20" ht="27" x14ac:dyDescent="0.25">
      <c r="B60" s="87">
        <f t="shared" si="5"/>
        <v>7</v>
      </c>
      <c r="C60" s="88" t="str">
        <f t="shared" si="4"/>
        <v>ESPERA FELIZ - 212</v>
      </c>
      <c r="D60" s="86"/>
      <c r="G60" s="87"/>
      <c r="H60" s="88"/>
      <c r="I60" s="86"/>
      <c r="L60" s="87"/>
      <c r="M60" s="88"/>
      <c r="N60" s="86"/>
      <c r="O60" s="89"/>
      <c r="R60" s="87"/>
      <c r="S60" s="88"/>
      <c r="T60" s="86"/>
    </row>
    <row r="61" spans="2:20" ht="27" x14ac:dyDescent="0.25">
      <c r="B61" s="87">
        <f t="shared" si="5"/>
        <v>8</v>
      </c>
      <c r="C61" s="88" t="str">
        <f t="shared" si="4"/>
        <v>DIVINO - 310</v>
      </c>
      <c r="D61" s="86"/>
      <c r="G61" s="87"/>
      <c r="H61" s="88"/>
      <c r="I61" s="86"/>
      <c r="L61" s="87"/>
      <c r="M61" s="88"/>
      <c r="N61" s="86"/>
      <c r="O61" s="89"/>
      <c r="R61" s="87"/>
      <c r="S61" s="88"/>
      <c r="T61" s="86"/>
    </row>
    <row r="62" spans="2:20" ht="27" x14ac:dyDescent="0.25">
      <c r="B62" s="87">
        <f t="shared" si="5"/>
        <v>9</v>
      </c>
      <c r="C62" s="88" t="str">
        <f t="shared" si="4"/>
        <v>CARREGAMENTO</v>
      </c>
      <c r="D62" s="82"/>
      <c r="G62" s="87"/>
      <c r="H62" s="88"/>
      <c r="I62" s="82"/>
      <c r="L62" s="87"/>
      <c r="M62" s="88"/>
      <c r="N62" s="82"/>
      <c r="O62" s="89"/>
      <c r="R62" s="87"/>
      <c r="S62" s="88"/>
      <c r="T62" s="82"/>
    </row>
    <row r="63" spans="2:20" ht="27" x14ac:dyDescent="0.25">
      <c r="B63" s="87"/>
      <c r="C63" s="88"/>
      <c r="D63" s="82"/>
      <c r="G63" s="87"/>
      <c r="H63" s="88"/>
      <c r="I63" s="82"/>
      <c r="L63" s="87"/>
      <c r="M63" s="88"/>
      <c r="N63" s="82"/>
      <c r="O63" s="89"/>
      <c r="R63" s="87"/>
      <c r="S63" s="88"/>
      <c r="T63" s="82"/>
    </row>
    <row r="64" spans="2:20" ht="27" x14ac:dyDescent="0.25">
      <c r="B64" s="87"/>
      <c r="C64" s="88"/>
      <c r="D64" s="92"/>
      <c r="G64" s="87"/>
      <c r="H64" s="88"/>
      <c r="I64" s="92"/>
      <c r="L64" s="87"/>
      <c r="M64" s="88"/>
      <c r="N64" s="92"/>
      <c r="O64" s="89"/>
      <c r="R64" s="87"/>
      <c r="S64" s="88"/>
      <c r="T64" s="92"/>
    </row>
    <row r="65" spans="2:20" x14ac:dyDescent="0.25">
      <c r="B65" s="89"/>
      <c r="C65" s="89"/>
      <c r="D65" s="89"/>
      <c r="G65" s="89"/>
      <c r="H65" s="89"/>
      <c r="I65" s="89"/>
      <c r="M65" s="89"/>
      <c r="N65" s="89"/>
      <c r="O65" s="89"/>
      <c r="R65" s="89"/>
      <c r="S65" s="89"/>
      <c r="T65" s="89"/>
    </row>
    <row r="66" spans="2:20" ht="15.75" customHeight="1" x14ac:dyDescent="0.25">
      <c r="B66" s="89"/>
      <c r="C66" s="89"/>
      <c r="D66" s="89"/>
      <c r="G66" s="89"/>
      <c r="H66" s="89"/>
      <c r="I66" s="89"/>
      <c r="M66" s="89"/>
      <c r="N66" s="89"/>
      <c r="O66" s="89"/>
      <c r="R66" s="89"/>
      <c r="S66" s="89"/>
      <c r="T66" s="89"/>
    </row>
    <row r="67" spans="2:20" ht="19.5" customHeight="1" x14ac:dyDescent="0.25">
      <c r="B67" s="131" t="s">
        <v>834</v>
      </c>
      <c r="C67" s="132"/>
      <c r="D67" s="133"/>
      <c r="G67" s="131" t="s">
        <v>834</v>
      </c>
      <c r="H67" s="132"/>
      <c r="I67" s="133"/>
      <c r="L67" s="131" t="s">
        <v>834</v>
      </c>
      <c r="M67" s="132"/>
      <c r="N67" s="133"/>
      <c r="O67" s="89"/>
      <c r="R67" s="131" t="s">
        <v>834</v>
      </c>
      <c r="S67" s="132"/>
      <c r="T67" s="133"/>
    </row>
    <row r="68" spans="2:20" x14ac:dyDescent="0.25">
      <c r="B68" s="112" t="s">
        <v>879</v>
      </c>
      <c r="C68" s="103" t="s">
        <v>575</v>
      </c>
      <c r="D68" s="114" t="s">
        <v>100</v>
      </c>
      <c r="G68" s="112" t="s">
        <v>846</v>
      </c>
      <c r="H68" s="103" t="s">
        <v>511</v>
      </c>
      <c r="I68" s="114" t="s">
        <v>37</v>
      </c>
      <c r="L68" s="112" t="s">
        <v>858</v>
      </c>
      <c r="M68" s="103" t="s">
        <v>656</v>
      </c>
      <c r="N68" s="114" t="s">
        <v>242</v>
      </c>
      <c r="O68" s="89"/>
      <c r="R68" s="55"/>
      <c r="S68" s="56"/>
      <c r="T68" s="57"/>
    </row>
    <row r="69" spans="2:20" x14ac:dyDescent="0.25">
      <c r="B69" s="116"/>
      <c r="C69" s="97"/>
      <c r="D69" s="97"/>
      <c r="G69" s="116"/>
      <c r="H69" s="97"/>
      <c r="I69" s="97"/>
      <c r="L69" s="116"/>
      <c r="M69" s="97"/>
      <c r="N69" s="97"/>
      <c r="O69" s="89"/>
      <c r="R69" s="59"/>
      <c r="S69" s="60"/>
      <c r="T69" s="61"/>
    </row>
    <row r="70" spans="2:20" x14ac:dyDescent="0.25">
      <c r="B70" s="95">
        <v>45698</v>
      </c>
      <c r="C70" s="100" t="s">
        <v>880</v>
      </c>
      <c r="D70" s="94">
        <v>0.33333333333333331</v>
      </c>
      <c r="G70" s="95">
        <v>45698</v>
      </c>
      <c r="H70" s="100" t="s">
        <v>941</v>
      </c>
      <c r="I70" s="94">
        <v>0.29166666666666669</v>
      </c>
      <c r="L70" s="95">
        <v>45698</v>
      </c>
      <c r="M70" s="100" t="s">
        <v>859</v>
      </c>
      <c r="N70" s="94">
        <v>0.33333333333333331</v>
      </c>
      <c r="O70" s="89"/>
      <c r="R70" s="59"/>
      <c r="S70" s="63"/>
      <c r="T70" s="61"/>
    </row>
    <row r="71" spans="2:20" x14ac:dyDescent="0.25">
      <c r="B71" s="95">
        <v>45698</v>
      </c>
      <c r="C71" s="101" t="s">
        <v>881</v>
      </c>
      <c r="D71" s="94">
        <v>0.41666666666666669</v>
      </c>
      <c r="G71" s="105">
        <v>45699</v>
      </c>
      <c r="H71" s="121" t="s">
        <v>836</v>
      </c>
      <c r="I71" s="122" t="s">
        <v>869</v>
      </c>
      <c r="L71" s="95">
        <v>45698</v>
      </c>
      <c r="M71" s="100" t="s">
        <v>867</v>
      </c>
      <c r="N71" s="94">
        <v>0.58333333333333337</v>
      </c>
      <c r="O71" s="89"/>
      <c r="R71" s="59"/>
      <c r="S71" s="64"/>
      <c r="T71" s="61"/>
    </row>
    <row r="72" spans="2:20" x14ac:dyDescent="0.25">
      <c r="B72" s="95">
        <v>45698</v>
      </c>
      <c r="C72" s="100" t="s">
        <v>882</v>
      </c>
      <c r="D72" s="94">
        <v>0.5</v>
      </c>
      <c r="G72" s="96"/>
      <c r="H72" s="100"/>
      <c r="I72" s="94"/>
      <c r="L72" s="96"/>
      <c r="M72" s="100"/>
      <c r="N72" s="94"/>
      <c r="O72" s="89"/>
      <c r="R72" s="59"/>
      <c r="S72" s="65"/>
      <c r="T72" s="61"/>
    </row>
    <row r="73" spans="2:20" x14ac:dyDescent="0.25">
      <c r="B73" s="95">
        <v>45698</v>
      </c>
      <c r="C73" s="119" t="s">
        <v>835</v>
      </c>
      <c r="D73" s="120" t="s">
        <v>863</v>
      </c>
      <c r="G73" s="96"/>
      <c r="H73" s="100"/>
      <c r="I73" s="94"/>
      <c r="L73" s="96"/>
      <c r="M73" s="100"/>
      <c r="N73" s="94"/>
      <c r="O73" s="89"/>
      <c r="R73" s="59"/>
      <c r="S73" s="66"/>
      <c r="T73" s="61"/>
    </row>
    <row r="74" spans="2:20" x14ac:dyDescent="0.25">
      <c r="B74" s="95">
        <v>45698</v>
      </c>
      <c r="C74" s="100" t="s">
        <v>883</v>
      </c>
      <c r="D74" s="94">
        <v>0.64583333333333337</v>
      </c>
      <c r="G74" s="96"/>
      <c r="H74" s="98"/>
      <c r="I74" s="94"/>
      <c r="L74" s="96"/>
      <c r="M74" s="98"/>
      <c r="N74" s="94"/>
      <c r="O74" s="89"/>
      <c r="R74" s="59"/>
      <c r="S74" s="65"/>
      <c r="T74" s="61"/>
    </row>
    <row r="75" spans="2:20" x14ac:dyDescent="0.25">
      <c r="B75" s="102">
        <v>45699</v>
      </c>
      <c r="C75" s="100" t="s">
        <v>884</v>
      </c>
      <c r="D75" s="94">
        <v>0.33333333333333331</v>
      </c>
      <c r="G75" s="96"/>
      <c r="H75" s="98"/>
      <c r="I75" s="94"/>
      <c r="L75" s="96"/>
      <c r="M75" s="98"/>
      <c r="N75" s="94"/>
      <c r="O75" s="89"/>
      <c r="R75" s="59"/>
      <c r="S75" s="67"/>
      <c r="T75" s="61"/>
    </row>
    <row r="76" spans="2:20" x14ac:dyDescent="0.25">
      <c r="B76" s="102">
        <v>45699</v>
      </c>
      <c r="C76" s="100" t="s">
        <v>885</v>
      </c>
      <c r="D76" s="94">
        <v>0.4375</v>
      </c>
      <c r="G76" s="96"/>
      <c r="H76" s="99"/>
      <c r="I76" s="94"/>
      <c r="L76" s="96"/>
      <c r="M76" s="99"/>
      <c r="N76" s="94"/>
      <c r="O76" s="89"/>
      <c r="R76" s="59"/>
      <c r="S76" s="63"/>
      <c r="T76" s="61"/>
    </row>
    <row r="77" spans="2:20" x14ac:dyDescent="0.25">
      <c r="B77" s="102">
        <v>45699</v>
      </c>
      <c r="C77" s="100" t="s">
        <v>886</v>
      </c>
      <c r="D77" s="94">
        <v>0.54166666666666663</v>
      </c>
      <c r="G77" s="96"/>
      <c r="H77" s="99"/>
      <c r="I77" s="94"/>
      <c r="L77" s="96"/>
      <c r="M77" s="99"/>
      <c r="N77" s="94"/>
      <c r="O77" s="89"/>
      <c r="R77" s="59"/>
      <c r="S77" s="65"/>
      <c r="T77" s="61"/>
    </row>
    <row r="78" spans="2:20" x14ac:dyDescent="0.25">
      <c r="B78" s="105">
        <v>45700</v>
      </c>
      <c r="C78" s="121" t="s">
        <v>836</v>
      </c>
      <c r="D78" s="122" t="s">
        <v>860</v>
      </c>
      <c r="G78" s="96"/>
      <c r="H78" s="99"/>
      <c r="I78" s="94"/>
      <c r="L78" s="96"/>
      <c r="M78" s="99"/>
      <c r="N78" s="94"/>
      <c r="O78" s="89"/>
      <c r="R78" s="59"/>
      <c r="S78" s="63"/>
      <c r="T78" s="61"/>
    </row>
    <row r="79" spans="2:20" x14ac:dyDescent="0.25">
      <c r="B79" s="113" t="s">
        <v>381</v>
      </c>
      <c r="C79" s="110"/>
      <c r="D79" s="111" t="str">
        <f>VLOOKUP(C68,'BANCO DE DADOS'!$B$2:$D$260,3,FALSE)</f>
        <v>(34) 9 9150-3987</v>
      </c>
      <c r="G79" s="113" t="s">
        <v>381</v>
      </c>
      <c r="H79" s="110"/>
      <c r="I79" s="111" t="str">
        <f>VLOOKUP(H68,'BANCO DE DADOS'!$B$2:$D$260,3,FALSE)</f>
        <v>(34) 9 9909-2471</v>
      </c>
      <c r="L79" s="113" t="s">
        <v>381</v>
      </c>
      <c r="M79" s="110"/>
      <c r="N79" s="111" t="str">
        <f>VLOOKUP(M68,'BANCO DE DADOS'!$B$2:$D$260,3,FALSE)</f>
        <v>(34) 9 9955-2200</v>
      </c>
      <c r="O79" s="89"/>
      <c r="R79" s="59"/>
      <c r="S79" s="63"/>
      <c r="T79" s="68"/>
    </row>
    <row r="80" spans="2:20" x14ac:dyDescent="0.25">
      <c r="B80" s="59"/>
      <c r="C80" s="63"/>
      <c r="D80" s="61"/>
      <c r="G80" s="59"/>
      <c r="H80" s="63"/>
      <c r="I80" s="61"/>
      <c r="L80" s="59"/>
      <c r="M80" s="63"/>
      <c r="N80" s="61"/>
      <c r="O80" s="89"/>
      <c r="R80" s="59"/>
      <c r="S80" s="63"/>
      <c r="T80" s="61"/>
    </row>
    <row r="81" spans="2:20" x14ac:dyDescent="0.25">
      <c r="B81" s="59"/>
      <c r="C81" s="63"/>
      <c r="D81" s="61"/>
      <c r="G81" s="59"/>
      <c r="H81" s="63"/>
      <c r="I81" s="61"/>
      <c r="L81" s="59"/>
      <c r="M81" s="63"/>
      <c r="N81" s="61"/>
      <c r="O81" s="89"/>
      <c r="R81" s="59"/>
      <c r="S81" s="63"/>
      <c r="T81" s="61"/>
    </row>
    <row r="82" spans="2:20" x14ac:dyDescent="0.25">
      <c r="B82" s="59"/>
      <c r="C82" s="66"/>
      <c r="D82" s="61"/>
      <c r="G82" s="59"/>
      <c r="H82" s="66"/>
      <c r="I82" s="61"/>
      <c r="L82" s="59"/>
      <c r="M82" s="66"/>
      <c r="N82" s="61"/>
      <c r="O82" s="89"/>
      <c r="R82" s="59"/>
      <c r="S82" s="66"/>
      <c r="T82" s="61"/>
    </row>
    <row r="83" spans="2:20" x14ac:dyDescent="0.25">
      <c r="B83" s="59"/>
      <c r="C83" s="63"/>
      <c r="D83" s="61"/>
      <c r="G83" s="59"/>
      <c r="H83" s="63"/>
      <c r="I83" s="61"/>
      <c r="L83" s="59"/>
      <c r="M83" s="63"/>
      <c r="N83" s="61"/>
      <c r="O83" s="89"/>
      <c r="R83" s="59"/>
      <c r="S83" s="63"/>
      <c r="T83" s="61"/>
    </row>
    <row r="84" spans="2:20" x14ac:dyDescent="0.25">
      <c r="B84" s="59"/>
      <c r="C84" s="63"/>
      <c r="D84" s="68"/>
      <c r="G84" s="59"/>
      <c r="H84" s="63"/>
      <c r="I84" s="68"/>
      <c r="L84" s="59"/>
      <c r="M84" s="63"/>
      <c r="N84" s="68"/>
      <c r="O84" s="89"/>
      <c r="R84" s="59"/>
      <c r="S84" s="63"/>
      <c r="T84" s="68"/>
    </row>
    <row r="85" spans="2:20" x14ac:dyDescent="0.25">
      <c r="B85" s="59"/>
      <c r="C85" s="63"/>
      <c r="D85" s="68"/>
      <c r="G85" s="59"/>
      <c r="H85" s="63"/>
      <c r="I85" s="68"/>
      <c r="L85" s="59"/>
      <c r="M85" s="63"/>
      <c r="N85" s="68"/>
      <c r="O85" s="89"/>
      <c r="R85" s="59"/>
      <c r="S85" s="63"/>
      <c r="T85" s="68"/>
    </row>
    <row r="86" spans="2:20" x14ac:dyDescent="0.25">
      <c r="B86" s="70"/>
      <c r="C86" s="71"/>
      <c r="D86" s="61"/>
      <c r="G86" s="70"/>
      <c r="H86" s="71"/>
      <c r="I86" s="61"/>
      <c r="L86" s="70"/>
      <c r="M86" s="71"/>
      <c r="N86" s="61"/>
      <c r="O86" s="89"/>
      <c r="R86" s="70"/>
      <c r="S86" s="71"/>
      <c r="T86" s="61"/>
    </row>
    <row r="87" spans="2:20" x14ac:dyDescent="0.25">
      <c r="B87" s="70"/>
      <c r="C87" s="60"/>
      <c r="D87" s="68"/>
      <c r="G87" s="70"/>
      <c r="H87" s="60"/>
      <c r="I87" s="68"/>
      <c r="L87" s="70"/>
      <c r="M87" s="60"/>
      <c r="N87" s="68"/>
      <c r="O87" s="89"/>
      <c r="R87" s="70"/>
      <c r="S87" s="60"/>
      <c r="T87" s="68"/>
    </row>
    <row r="88" spans="2:20" x14ac:dyDescent="0.25">
      <c r="B88" s="70"/>
      <c r="C88" s="38"/>
      <c r="D88" s="68"/>
      <c r="G88" s="70"/>
      <c r="H88" s="38"/>
      <c r="I88" s="68"/>
      <c r="L88" s="70"/>
      <c r="M88" s="38"/>
      <c r="N88" s="68"/>
      <c r="O88" s="89"/>
      <c r="R88" s="70"/>
      <c r="S88" s="38"/>
      <c r="T88" s="68"/>
    </row>
    <row r="89" spans="2:20" ht="15.75" customHeight="1" x14ac:dyDescent="0.25">
      <c r="B89" s="72"/>
      <c r="C89" s="73"/>
      <c r="D89" s="74"/>
      <c r="G89" s="72"/>
      <c r="H89" s="73"/>
      <c r="I89" s="74"/>
      <c r="L89" s="72"/>
      <c r="M89" s="73"/>
      <c r="N89" s="74"/>
      <c r="O89" s="89"/>
      <c r="R89" s="72"/>
      <c r="S89" s="73"/>
      <c r="T89" s="74"/>
    </row>
    <row r="90" spans="2:20" s="89" customFormat="1" x14ac:dyDescent="0.25">
      <c r="B90" s="90"/>
      <c r="C90" s="91"/>
      <c r="D90" s="93"/>
      <c r="G90" s="90"/>
      <c r="H90" s="91"/>
      <c r="I90" s="93"/>
      <c r="L90" s="90"/>
      <c r="M90" s="91"/>
      <c r="N90" s="93"/>
      <c r="R90" s="90"/>
      <c r="S90" s="91"/>
      <c r="T90" s="93"/>
    </row>
    <row r="91" spans="2:20" s="89" customFormat="1" x14ac:dyDescent="0.25">
      <c r="B91" s="90"/>
      <c r="C91" s="91"/>
      <c r="D91" s="81"/>
      <c r="G91" s="90"/>
      <c r="H91" s="91"/>
      <c r="I91" s="81"/>
      <c r="L91" s="90"/>
      <c r="M91" s="91"/>
      <c r="N91" s="81"/>
      <c r="R91" s="90"/>
      <c r="S91" s="91"/>
      <c r="T91" s="81"/>
    </row>
    <row r="92" spans="2:20" x14ac:dyDescent="0.25">
      <c r="B92" s="89"/>
      <c r="C92" s="89"/>
      <c r="D92" s="89"/>
      <c r="G92" s="89"/>
      <c r="H92" s="89"/>
      <c r="I92" s="89"/>
      <c r="M92" s="89"/>
      <c r="N92" s="89"/>
      <c r="O92" s="89"/>
      <c r="R92" s="89"/>
      <c r="S92" s="89"/>
      <c r="T92" s="89"/>
    </row>
    <row r="93" spans="2:20" ht="15" customHeight="1" x14ac:dyDescent="0.25">
      <c r="B93" s="134" t="s">
        <v>968</v>
      </c>
      <c r="C93" s="134"/>
      <c r="D93" s="134"/>
      <c r="G93" s="134" t="s">
        <v>968</v>
      </c>
      <c r="H93" s="134"/>
      <c r="I93" s="134"/>
      <c r="L93" s="134" t="s">
        <v>968</v>
      </c>
      <c r="M93" s="134"/>
      <c r="N93" s="134"/>
      <c r="O93" s="89"/>
      <c r="R93" s="134" t="s">
        <v>968</v>
      </c>
      <c r="S93" s="134"/>
      <c r="T93" s="134"/>
    </row>
    <row r="94" spans="2:20" ht="15" customHeight="1" x14ac:dyDescent="0.25">
      <c r="B94" s="134"/>
      <c r="C94" s="134"/>
      <c r="D94" s="134"/>
      <c r="G94" s="134"/>
      <c r="H94" s="134"/>
      <c r="I94" s="134"/>
      <c r="L94" s="134"/>
      <c r="M94" s="134"/>
      <c r="N94" s="134"/>
      <c r="O94" s="89"/>
      <c r="R94" s="134"/>
      <c r="S94" s="134"/>
      <c r="T94" s="134"/>
    </row>
    <row r="95" spans="2:20" ht="15" customHeight="1" x14ac:dyDescent="0.25">
      <c r="B95" s="134"/>
      <c r="C95" s="134"/>
      <c r="D95" s="134"/>
      <c r="G95" s="134"/>
      <c r="H95" s="134"/>
      <c r="I95" s="134"/>
      <c r="L95" s="134"/>
      <c r="M95" s="134"/>
      <c r="N95" s="134"/>
      <c r="O95" s="89"/>
      <c r="R95" s="134"/>
      <c r="S95" s="134"/>
      <c r="T95" s="134"/>
    </row>
    <row r="96" spans="2:20" ht="15" customHeight="1" x14ac:dyDescent="0.25">
      <c r="B96" s="134"/>
      <c r="C96" s="134"/>
      <c r="D96" s="134"/>
      <c r="G96" s="134"/>
      <c r="H96" s="134"/>
      <c r="I96" s="134"/>
      <c r="L96" s="134"/>
      <c r="M96" s="134"/>
      <c r="N96" s="134"/>
      <c r="O96" s="89"/>
      <c r="R96" s="134"/>
      <c r="S96" s="134"/>
      <c r="T96" s="134"/>
    </row>
    <row r="97" spans="2:20" ht="15" customHeight="1" x14ac:dyDescent="0.25">
      <c r="B97" s="134"/>
      <c r="C97" s="134"/>
      <c r="D97" s="134"/>
      <c r="G97" s="134"/>
      <c r="H97" s="134"/>
      <c r="I97" s="134"/>
      <c r="L97" s="134"/>
      <c r="M97" s="134"/>
      <c r="N97" s="134"/>
      <c r="O97" s="89"/>
      <c r="R97" s="134"/>
      <c r="S97" s="134"/>
      <c r="T97" s="134"/>
    </row>
    <row r="98" spans="2:20" ht="39" customHeight="1" x14ac:dyDescent="0.25">
      <c r="B98" s="134"/>
      <c r="C98" s="134"/>
      <c r="D98" s="134"/>
      <c r="G98" s="134"/>
      <c r="H98" s="134"/>
      <c r="I98" s="134"/>
      <c r="L98" s="134"/>
      <c r="M98" s="134"/>
      <c r="N98" s="134"/>
      <c r="O98" s="89"/>
      <c r="R98" s="134"/>
      <c r="S98" s="134"/>
      <c r="T98" s="134"/>
    </row>
    <row r="99" spans="2:20" ht="15" customHeight="1" x14ac:dyDescent="0.25">
      <c r="B99" s="85"/>
      <c r="C99" s="84"/>
      <c r="D99" s="83"/>
      <c r="G99" s="85"/>
      <c r="H99" s="84"/>
      <c r="I99" s="83"/>
      <c r="L99" s="85"/>
      <c r="M99" s="84"/>
      <c r="N99" s="83"/>
      <c r="O99" s="89"/>
      <c r="R99" s="85"/>
      <c r="S99" s="84"/>
      <c r="T99" s="83"/>
    </row>
    <row r="100" spans="2:20" ht="27" x14ac:dyDescent="0.25">
      <c r="B100" s="87">
        <v>1</v>
      </c>
      <c r="C100" s="88" t="str">
        <f t="shared" ref="C100:C108" si="6">C116</f>
        <v>IBATIBA - 263</v>
      </c>
      <c r="D100" s="86"/>
      <c r="G100" s="87">
        <v>1</v>
      </c>
      <c r="H100" s="88" t="str">
        <f>H116</f>
        <v>BARRA DO CHOCA - 223</v>
      </c>
      <c r="I100" s="86"/>
      <c r="L100" s="87">
        <v>1</v>
      </c>
      <c r="M100" s="88">
        <f t="shared" ref="M100:M110" si="7">M116</f>
        <v>0</v>
      </c>
      <c r="N100" s="86"/>
      <c r="O100" s="89"/>
      <c r="R100" s="87">
        <v>1</v>
      </c>
      <c r="S100" s="88">
        <f t="shared" ref="S100:S110" si="8">S116</f>
        <v>0</v>
      </c>
      <c r="T100" s="86"/>
    </row>
    <row r="101" spans="2:20" ht="27" x14ac:dyDescent="0.25">
      <c r="B101" s="87">
        <f t="shared" ref="B101:B108" si="9">B100+1</f>
        <v>2</v>
      </c>
      <c r="C101" s="88" t="str">
        <f t="shared" si="6"/>
        <v>MUTUM - 233</v>
      </c>
      <c r="D101" s="86"/>
      <c r="G101" s="87">
        <f>G100+1</f>
        <v>2</v>
      </c>
      <c r="H101" s="88" t="str">
        <f>H117</f>
        <v>VITORIA DA CONQUISTA - 501</v>
      </c>
      <c r="I101" s="86"/>
      <c r="L101" s="87">
        <f t="shared" ref="L101:L110" si="10">L100+1</f>
        <v>2</v>
      </c>
      <c r="M101" s="88">
        <f t="shared" si="7"/>
        <v>0</v>
      </c>
      <c r="N101" s="86"/>
      <c r="O101" s="89"/>
      <c r="R101" s="87">
        <f t="shared" ref="R101:R110" si="11">R100+1</f>
        <v>2</v>
      </c>
      <c r="S101" s="88">
        <f t="shared" si="8"/>
        <v>0</v>
      </c>
      <c r="T101" s="86"/>
    </row>
    <row r="102" spans="2:20" ht="27" x14ac:dyDescent="0.25">
      <c r="B102" s="87">
        <f t="shared" si="9"/>
        <v>3</v>
      </c>
      <c r="C102" s="88" t="str">
        <f t="shared" si="6"/>
        <v>LAJINHA - 281</v>
      </c>
      <c r="D102" s="86"/>
      <c r="G102" s="87"/>
      <c r="H102" s="88"/>
      <c r="I102" s="86"/>
      <c r="L102" s="87">
        <f t="shared" si="10"/>
        <v>3</v>
      </c>
      <c r="M102" s="88">
        <f t="shared" si="7"/>
        <v>0</v>
      </c>
      <c r="N102" s="86"/>
      <c r="O102" s="89"/>
      <c r="R102" s="87">
        <f t="shared" si="11"/>
        <v>3</v>
      </c>
      <c r="S102" s="88">
        <f t="shared" si="8"/>
        <v>0</v>
      </c>
      <c r="T102" s="86"/>
    </row>
    <row r="103" spans="2:20" ht="27" x14ac:dyDescent="0.25">
      <c r="B103" s="87">
        <f t="shared" si="9"/>
        <v>4</v>
      </c>
      <c r="C103" s="88" t="str">
        <f t="shared" si="6"/>
        <v>ALMOÇO</v>
      </c>
      <c r="D103" s="86"/>
      <c r="G103" s="87"/>
      <c r="H103" s="88"/>
      <c r="I103" s="86"/>
      <c r="L103" s="87">
        <f t="shared" si="10"/>
        <v>4</v>
      </c>
      <c r="M103" s="88">
        <f t="shared" si="7"/>
        <v>0</v>
      </c>
      <c r="N103" s="86"/>
      <c r="O103" s="89"/>
      <c r="R103" s="87">
        <f t="shared" si="11"/>
        <v>4</v>
      </c>
      <c r="S103" s="88">
        <f t="shared" si="8"/>
        <v>0</v>
      </c>
      <c r="T103" s="86"/>
    </row>
    <row r="104" spans="2:20" ht="27" x14ac:dyDescent="0.25">
      <c r="B104" s="87">
        <f t="shared" si="9"/>
        <v>5</v>
      </c>
      <c r="C104" s="88" t="str">
        <f t="shared" si="6"/>
        <v>IUNA - 333</v>
      </c>
      <c r="D104" s="86"/>
      <c r="G104" s="87"/>
      <c r="H104" s="88"/>
      <c r="I104" s="86"/>
      <c r="L104" s="87">
        <f t="shared" si="10"/>
        <v>5</v>
      </c>
      <c r="M104" s="88">
        <f t="shared" si="7"/>
        <v>0</v>
      </c>
      <c r="N104" s="86"/>
      <c r="O104" s="89"/>
      <c r="R104" s="87">
        <f t="shared" si="11"/>
        <v>5</v>
      </c>
      <c r="S104" s="88">
        <f t="shared" si="8"/>
        <v>0</v>
      </c>
      <c r="T104" s="86"/>
    </row>
    <row r="105" spans="2:20" ht="27" x14ac:dyDescent="0.25">
      <c r="B105" s="87">
        <f t="shared" si="9"/>
        <v>6</v>
      </c>
      <c r="C105" s="88" t="str">
        <f t="shared" si="6"/>
        <v>ALEGRE - 345</v>
      </c>
      <c r="D105" s="86"/>
      <c r="G105" s="87"/>
      <c r="H105" s="88"/>
      <c r="I105" s="86"/>
      <c r="L105" s="87">
        <f t="shared" si="10"/>
        <v>6</v>
      </c>
      <c r="M105" s="88">
        <f t="shared" si="7"/>
        <v>0</v>
      </c>
      <c r="N105" s="86"/>
      <c r="O105" s="89"/>
      <c r="R105" s="87">
        <f t="shared" si="11"/>
        <v>6</v>
      </c>
      <c r="S105" s="88">
        <f t="shared" si="8"/>
        <v>0</v>
      </c>
      <c r="T105" s="86"/>
    </row>
    <row r="106" spans="2:20" ht="27" x14ac:dyDescent="0.25">
      <c r="B106" s="87">
        <f t="shared" si="9"/>
        <v>7</v>
      </c>
      <c r="C106" s="88" t="str">
        <f t="shared" si="6"/>
        <v>GUACUI - 342</v>
      </c>
      <c r="D106" s="86"/>
      <c r="G106" s="87"/>
      <c r="H106" s="88"/>
      <c r="I106" s="86"/>
      <c r="L106" s="87">
        <f t="shared" si="10"/>
        <v>7</v>
      </c>
      <c r="M106" s="88">
        <f t="shared" si="7"/>
        <v>0</v>
      </c>
      <c r="N106" s="86"/>
      <c r="O106" s="89"/>
      <c r="R106" s="87">
        <f t="shared" si="11"/>
        <v>7</v>
      </c>
      <c r="S106" s="88">
        <f t="shared" si="8"/>
        <v>0</v>
      </c>
      <c r="T106" s="86"/>
    </row>
    <row r="107" spans="2:20" ht="27" x14ac:dyDescent="0.25">
      <c r="B107" s="87">
        <f t="shared" si="9"/>
        <v>8</v>
      </c>
      <c r="C107" s="88" t="str">
        <f t="shared" si="6"/>
        <v>MIMOSO DO SUL - 450</v>
      </c>
      <c r="D107" s="86"/>
      <c r="G107" s="87"/>
      <c r="H107" s="88"/>
      <c r="I107" s="86"/>
      <c r="L107" s="87">
        <f t="shared" si="10"/>
        <v>8</v>
      </c>
      <c r="M107" s="88">
        <f t="shared" si="7"/>
        <v>0</v>
      </c>
      <c r="N107" s="86"/>
      <c r="O107" s="89"/>
      <c r="R107" s="87">
        <f t="shared" si="11"/>
        <v>8</v>
      </c>
      <c r="S107" s="88">
        <f t="shared" si="8"/>
        <v>0</v>
      </c>
      <c r="T107" s="86"/>
    </row>
    <row r="108" spans="2:20" ht="27" x14ac:dyDescent="0.25">
      <c r="B108" s="87">
        <f t="shared" si="9"/>
        <v>9</v>
      </c>
      <c r="C108" s="88" t="str">
        <f t="shared" si="6"/>
        <v>CARREGAMENTO</v>
      </c>
      <c r="D108" s="82"/>
      <c r="G108" s="87"/>
      <c r="H108" s="88"/>
      <c r="I108" s="82"/>
      <c r="L108" s="87">
        <f t="shared" si="10"/>
        <v>9</v>
      </c>
      <c r="M108" s="88">
        <f t="shared" si="7"/>
        <v>0</v>
      </c>
      <c r="N108" s="82"/>
      <c r="O108" s="89"/>
      <c r="R108" s="87">
        <f t="shared" si="11"/>
        <v>9</v>
      </c>
      <c r="S108" s="88">
        <f t="shared" si="8"/>
        <v>0</v>
      </c>
      <c r="T108" s="82"/>
    </row>
    <row r="109" spans="2:20" ht="27" x14ac:dyDescent="0.25">
      <c r="B109" s="87"/>
      <c r="C109" s="88"/>
      <c r="D109" s="82"/>
      <c r="G109" s="87"/>
      <c r="H109" s="88"/>
      <c r="I109" s="82"/>
      <c r="L109" s="87">
        <f t="shared" si="10"/>
        <v>10</v>
      </c>
      <c r="M109" s="88">
        <f t="shared" si="7"/>
        <v>0</v>
      </c>
      <c r="N109" s="82"/>
      <c r="O109" s="89"/>
      <c r="R109" s="87">
        <f t="shared" si="11"/>
        <v>10</v>
      </c>
      <c r="S109" s="88">
        <f t="shared" si="8"/>
        <v>0</v>
      </c>
      <c r="T109" s="82"/>
    </row>
    <row r="110" spans="2:20" s="89" customFormat="1" ht="27" x14ac:dyDescent="0.25">
      <c r="B110" s="87"/>
      <c r="C110" s="88"/>
      <c r="D110" s="92"/>
      <c r="G110" s="87"/>
      <c r="H110" s="88"/>
      <c r="I110" s="92"/>
      <c r="L110" s="87">
        <f t="shared" si="10"/>
        <v>11</v>
      </c>
      <c r="M110" s="88">
        <f t="shared" si="7"/>
        <v>0</v>
      </c>
      <c r="N110" s="92"/>
      <c r="R110" s="87">
        <f t="shared" si="11"/>
        <v>11</v>
      </c>
      <c r="S110" s="88">
        <f t="shared" si="8"/>
        <v>0</v>
      </c>
      <c r="T110" s="92"/>
    </row>
    <row r="111" spans="2:20" s="89" customFormat="1" ht="15.75" customHeight="1" x14ac:dyDescent="0.25"/>
    <row r="112" spans="2:20" ht="15.75" customHeight="1" x14ac:dyDescent="0.25">
      <c r="B112" s="89"/>
      <c r="C112" s="89"/>
      <c r="D112" s="89"/>
      <c r="G112" s="89"/>
      <c r="H112" s="89"/>
      <c r="I112" s="89"/>
      <c r="M112" s="89"/>
      <c r="N112" s="89"/>
      <c r="O112" s="89"/>
      <c r="R112" s="89"/>
      <c r="S112" s="89"/>
      <c r="T112" s="89"/>
    </row>
    <row r="113" spans="2:20" ht="19.5" customHeight="1" x14ac:dyDescent="0.25">
      <c r="B113" s="131" t="s">
        <v>834</v>
      </c>
      <c r="C113" s="132"/>
      <c r="D113" s="133"/>
      <c r="G113" s="131" t="s">
        <v>834</v>
      </c>
      <c r="H113" s="132"/>
      <c r="I113" s="133"/>
      <c r="L113" s="131" t="s">
        <v>834</v>
      </c>
      <c r="M113" s="132"/>
      <c r="N113" s="133"/>
      <c r="O113" s="89"/>
      <c r="R113" s="131" t="s">
        <v>834</v>
      </c>
      <c r="S113" s="132"/>
      <c r="T113" s="133"/>
    </row>
    <row r="114" spans="2:20" x14ac:dyDescent="0.25">
      <c r="B114" s="112" t="s">
        <v>887</v>
      </c>
      <c r="C114" s="103" t="s">
        <v>386</v>
      </c>
      <c r="D114" s="114" t="s">
        <v>230</v>
      </c>
      <c r="G114" s="112" t="s">
        <v>847</v>
      </c>
      <c r="H114" s="103" t="s">
        <v>464</v>
      </c>
      <c r="I114" s="114" t="s">
        <v>55</v>
      </c>
      <c r="L114" s="55"/>
      <c r="M114" s="56"/>
      <c r="N114" s="57"/>
      <c r="O114" s="89"/>
      <c r="R114" s="55"/>
      <c r="S114" s="56"/>
      <c r="T114" s="57"/>
    </row>
    <row r="115" spans="2:20" x14ac:dyDescent="0.25">
      <c r="B115" s="116"/>
      <c r="C115" s="97"/>
      <c r="D115" s="97"/>
      <c r="G115" s="116"/>
      <c r="H115" s="97"/>
      <c r="I115" s="97"/>
      <c r="L115" s="59"/>
      <c r="M115" s="60"/>
      <c r="N115" s="61"/>
      <c r="O115" s="89"/>
      <c r="R115" s="59"/>
      <c r="S115" s="60"/>
      <c r="T115" s="61"/>
    </row>
    <row r="116" spans="2:20" x14ac:dyDescent="0.25">
      <c r="B116" s="95">
        <v>45698</v>
      </c>
      <c r="C116" s="100" t="s">
        <v>888</v>
      </c>
      <c r="D116" s="94">
        <v>0.29166666666666669</v>
      </c>
      <c r="G116" s="95">
        <v>45698</v>
      </c>
      <c r="H116" s="100" t="s">
        <v>942</v>
      </c>
      <c r="I116" s="94">
        <v>0.58333333333333337</v>
      </c>
      <c r="L116" s="59"/>
      <c r="M116" s="63"/>
      <c r="N116" s="61"/>
      <c r="O116" s="89"/>
      <c r="R116" s="59"/>
      <c r="S116" s="63"/>
      <c r="T116" s="61"/>
    </row>
    <row r="117" spans="2:20" x14ac:dyDescent="0.25">
      <c r="B117" s="95">
        <v>45698</v>
      </c>
      <c r="C117" s="100" t="s">
        <v>889</v>
      </c>
      <c r="D117" s="94">
        <v>0.375</v>
      </c>
      <c r="G117" s="95">
        <v>45698</v>
      </c>
      <c r="H117" s="106" t="s">
        <v>943</v>
      </c>
      <c r="I117" s="94">
        <v>0.79166666666666663</v>
      </c>
      <c r="L117" s="59"/>
      <c r="M117" s="64"/>
      <c r="N117" s="61"/>
      <c r="O117" s="89"/>
      <c r="R117" s="59"/>
      <c r="S117" s="64"/>
      <c r="T117" s="61"/>
    </row>
    <row r="118" spans="2:20" x14ac:dyDescent="0.25">
      <c r="B118" s="95">
        <v>45698</v>
      </c>
      <c r="C118" s="100" t="s">
        <v>890</v>
      </c>
      <c r="D118" s="94">
        <v>0.5</v>
      </c>
      <c r="G118" s="96"/>
      <c r="H118" s="100"/>
      <c r="I118" s="94"/>
      <c r="L118" s="59"/>
      <c r="M118" s="65"/>
      <c r="N118" s="61"/>
      <c r="O118" s="89"/>
      <c r="R118" s="59"/>
      <c r="S118" s="65"/>
      <c r="T118" s="61"/>
    </row>
    <row r="119" spans="2:20" x14ac:dyDescent="0.25">
      <c r="B119" s="95">
        <v>45698</v>
      </c>
      <c r="C119" s="119" t="s">
        <v>835</v>
      </c>
      <c r="D119" s="120" t="s">
        <v>863</v>
      </c>
      <c r="G119" s="96"/>
      <c r="H119" s="100"/>
      <c r="I119" s="94"/>
      <c r="L119" s="59"/>
      <c r="M119" s="66"/>
      <c r="N119" s="61"/>
      <c r="O119" s="89"/>
      <c r="R119" s="59"/>
      <c r="S119" s="66"/>
      <c r="T119" s="61"/>
    </row>
    <row r="120" spans="2:20" x14ac:dyDescent="0.25">
      <c r="B120" s="95">
        <v>45698</v>
      </c>
      <c r="C120" s="100" t="s">
        <v>891</v>
      </c>
      <c r="D120" s="94">
        <v>0.625</v>
      </c>
      <c r="G120" s="96"/>
      <c r="H120" s="98"/>
      <c r="I120" s="94"/>
      <c r="L120" s="59"/>
      <c r="M120" s="65"/>
      <c r="N120" s="61"/>
      <c r="O120" s="89"/>
      <c r="R120" s="59"/>
      <c r="S120" s="65"/>
      <c r="T120" s="61"/>
    </row>
    <row r="121" spans="2:20" x14ac:dyDescent="0.25">
      <c r="B121" s="95">
        <v>45698</v>
      </c>
      <c r="C121" s="100" t="s">
        <v>892</v>
      </c>
      <c r="D121" s="94">
        <v>0.70833333333333337</v>
      </c>
      <c r="G121" s="96"/>
      <c r="H121" s="98"/>
      <c r="I121" s="94"/>
      <c r="L121" s="59"/>
      <c r="M121" s="67"/>
      <c r="N121" s="61"/>
      <c r="O121" s="89"/>
      <c r="R121" s="59"/>
      <c r="S121" s="67"/>
      <c r="T121" s="61"/>
    </row>
    <row r="122" spans="2:20" x14ac:dyDescent="0.25">
      <c r="B122" s="102">
        <v>45699</v>
      </c>
      <c r="C122" s="101" t="s">
        <v>893</v>
      </c>
      <c r="D122" s="94">
        <v>0.33333333333333331</v>
      </c>
      <c r="G122" s="96"/>
      <c r="H122" s="99"/>
      <c r="I122" s="94"/>
      <c r="L122" s="59"/>
      <c r="M122" s="63"/>
      <c r="N122" s="61"/>
      <c r="O122" s="89"/>
      <c r="R122" s="59"/>
      <c r="S122" s="63"/>
      <c r="T122" s="61"/>
    </row>
    <row r="123" spans="2:20" x14ac:dyDescent="0.25">
      <c r="B123" s="102">
        <v>45699</v>
      </c>
      <c r="C123" s="100" t="s">
        <v>894</v>
      </c>
      <c r="D123" s="94">
        <v>0.41666666666666669</v>
      </c>
      <c r="G123" s="96"/>
      <c r="H123" s="99"/>
      <c r="I123" s="94"/>
      <c r="L123" s="59"/>
      <c r="M123" s="65"/>
      <c r="N123" s="61"/>
      <c r="O123" s="89"/>
      <c r="R123" s="59"/>
      <c r="S123" s="65"/>
      <c r="T123" s="61"/>
    </row>
    <row r="124" spans="2:20" x14ac:dyDescent="0.25">
      <c r="B124" s="105">
        <v>45700</v>
      </c>
      <c r="C124" s="121" t="s">
        <v>836</v>
      </c>
      <c r="D124" s="122" t="s">
        <v>861</v>
      </c>
      <c r="G124" s="96"/>
      <c r="H124" s="99"/>
      <c r="I124" s="94"/>
      <c r="L124" s="59"/>
      <c r="M124" s="63"/>
      <c r="N124" s="61"/>
      <c r="O124" s="89"/>
      <c r="R124" s="59"/>
      <c r="S124" s="63"/>
      <c r="T124" s="61"/>
    </row>
    <row r="125" spans="2:20" x14ac:dyDescent="0.25">
      <c r="B125" s="113" t="s">
        <v>381</v>
      </c>
      <c r="C125" s="110"/>
      <c r="D125" s="111" t="str">
        <f>VLOOKUP(C114,'BANCO DE DADOS'!$B$2:$D$260,3,FALSE)</f>
        <v>(34) 9 9241-1119</v>
      </c>
      <c r="G125" s="113" t="s">
        <v>381</v>
      </c>
      <c r="H125" s="110"/>
      <c r="I125" s="111" t="str">
        <f>VLOOKUP(H114,'BANCO DE DADOS'!$B$2:$D$260,3,FALSE)</f>
        <v>(34) 9 9271-1118</v>
      </c>
      <c r="L125" s="59"/>
      <c r="M125" s="63"/>
      <c r="N125" s="68"/>
      <c r="O125" s="89"/>
      <c r="R125" s="59"/>
      <c r="S125" s="63"/>
      <c r="T125" s="68"/>
    </row>
    <row r="126" spans="2:20" x14ac:dyDescent="0.25">
      <c r="B126" s="59"/>
      <c r="C126" s="63"/>
      <c r="D126" s="61"/>
      <c r="G126" s="59"/>
      <c r="H126" s="63"/>
      <c r="I126" s="61"/>
      <c r="L126" s="59"/>
      <c r="M126" s="63"/>
      <c r="N126" s="61"/>
      <c r="O126" s="89"/>
      <c r="R126" s="59"/>
      <c r="S126" s="63"/>
      <c r="T126" s="61"/>
    </row>
    <row r="127" spans="2:20" x14ac:dyDescent="0.25">
      <c r="B127" s="59"/>
      <c r="C127" s="63"/>
      <c r="D127" s="61"/>
      <c r="G127" s="59"/>
      <c r="H127" s="63"/>
      <c r="I127" s="61"/>
      <c r="L127" s="59"/>
      <c r="M127" s="63"/>
      <c r="N127" s="61"/>
      <c r="O127" s="89"/>
      <c r="R127" s="59"/>
      <c r="S127" s="63"/>
      <c r="T127" s="61"/>
    </row>
    <row r="128" spans="2:20" x14ac:dyDescent="0.25">
      <c r="B128" s="59"/>
      <c r="C128" s="66"/>
      <c r="D128" s="61"/>
      <c r="G128" s="59"/>
      <c r="H128" s="66"/>
      <c r="I128" s="61"/>
      <c r="L128" s="59"/>
      <c r="M128" s="66"/>
      <c r="N128" s="61"/>
      <c r="O128" s="89"/>
      <c r="R128" s="59"/>
      <c r="S128" s="66"/>
      <c r="T128" s="61"/>
    </row>
    <row r="129" spans="2:20" x14ac:dyDescent="0.25">
      <c r="B129" s="59"/>
      <c r="C129" s="63"/>
      <c r="D129" s="61"/>
      <c r="G129" s="59"/>
      <c r="H129" s="63"/>
      <c r="I129" s="61"/>
      <c r="L129" s="59"/>
      <c r="M129" s="63"/>
      <c r="N129" s="61"/>
      <c r="O129" s="89"/>
      <c r="R129" s="59"/>
      <c r="S129" s="63"/>
      <c r="T129" s="61"/>
    </row>
    <row r="130" spans="2:20" x14ac:dyDescent="0.25">
      <c r="B130" s="59"/>
      <c r="C130" s="63"/>
      <c r="D130" s="68"/>
      <c r="G130" s="59"/>
      <c r="H130" s="63"/>
      <c r="I130" s="68"/>
      <c r="L130" s="59"/>
      <c r="M130" s="63"/>
      <c r="N130" s="68"/>
      <c r="O130" s="89"/>
      <c r="R130" s="59"/>
      <c r="S130" s="63"/>
      <c r="T130" s="68"/>
    </row>
    <row r="131" spans="2:20" x14ac:dyDescent="0.25">
      <c r="B131" s="59"/>
      <c r="C131" s="63"/>
      <c r="D131" s="68"/>
      <c r="G131" s="59"/>
      <c r="H131" s="63"/>
      <c r="I131" s="68"/>
      <c r="L131" s="59"/>
      <c r="M131" s="63"/>
      <c r="N131" s="68"/>
      <c r="O131" s="89"/>
      <c r="R131" s="59"/>
      <c r="S131" s="63"/>
      <c r="T131" s="68"/>
    </row>
    <row r="132" spans="2:20" x14ac:dyDescent="0.25">
      <c r="B132" s="70"/>
      <c r="C132" s="71"/>
      <c r="D132" s="61"/>
      <c r="G132" s="70"/>
      <c r="H132" s="71"/>
      <c r="I132" s="61"/>
      <c r="L132" s="70"/>
      <c r="M132" s="71"/>
      <c r="N132" s="61"/>
      <c r="O132" s="89"/>
      <c r="R132" s="70"/>
      <c r="S132" s="71"/>
      <c r="T132" s="61"/>
    </row>
    <row r="133" spans="2:20" x14ac:dyDescent="0.25">
      <c r="B133" s="70"/>
      <c r="C133" s="60"/>
      <c r="D133" s="68"/>
      <c r="G133" s="70"/>
      <c r="H133" s="60"/>
      <c r="I133" s="68"/>
      <c r="L133" s="70"/>
      <c r="M133" s="60"/>
      <c r="N133" s="68"/>
      <c r="O133" s="89"/>
      <c r="R133" s="70"/>
      <c r="S133" s="60"/>
      <c r="T133" s="68"/>
    </row>
    <row r="134" spans="2:20" x14ac:dyDescent="0.25">
      <c r="B134" s="70"/>
      <c r="C134" s="38"/>
      <c r="D134" s="68"/>
      <c r="G134" s="70"/>
      <c r="H134" s="38"/>
      <c r="I134" s="68"/>
      <c r="L134" s="70"/>
      <c r="M134" s="38"/>
      <c r="N134" s="68"/>
      <c r="O134" s="89"/>
      <c r="R134" s="70"/>
      <c r="S134" s="38"/>
      <c r="T134" s="68"/>
    </row>
    <row r="135" spans="2:20" ht="15.75" customHeight="1" x14ac:dyDescent="0.25">
      <c r="B135" s="72"/>
      <c r="C135" s="73"/>
      <c r="D135" s="74"/>
      <c r="G135" s="72"/>
      <c r="H135" s="73"/>
      <c r="I135" s="74"/>
      <c r="L135" s="72"/>
      <c r="M135" s="73"/>
      <c r="N135" s="74"/>
      <c r="O135" s="89"/>
      <c r="R135" s="72"/>
      <c r="S135" s="73"/>
      <c r="T135" s="74"/>
    </row>
    <row r="136" spans="2:20" s="89" customFormat="1" x14ac:dyDescent="0.25">
      <c r="B136" s="90"/>
      <c r="C136" s="91"/>
      <c r="D136" s="93"/>
      <c r="G136" s="90"/>
      <c r="H136" s="91"/>
      <c r="I136" s="93"/>
      <c r="L136" s="90"/>
      <c r="M136" s="91"/>
      <c r="N136" s="93"/>
      <c r="R136" s="90"/>
      <c r="S136" s="91"/>
      <c r="T136" s="93"/>
    </row>
    <row r="137" spans="2:20" s="89" customFormat="1" x14ac:dyDescent="0.25">
      <c r="B137" s="90"/>
      <c r="C137" s="91"/>
      <c r="D137" s="81"/>
      <c r="G137" s="90"/>
      <c r="H137" s="91"/>
      <c r="I137" s="81"/>
      <c r="L137" s="90"/>
      <c r="M137" s="91"/>
      <c r="N137" s="81"/>
      <c r="R137" s="90"/>
      <c r="S137" s="91"/>
      <c r="T137" s="81"/>
    </row>
    <row r="138" spans="2:20" s="89" customFormat="1" x14ac:dyDescent="0.25"/>
    <row r="139" spans="2:20" x14ac:dyDescent="0.25">
      <c r="B139" s="134" t="s">
        <v>968</v>
      </c>
      <c r="C139" s="134"/>
      <c r="D139" s="134"/>
      <c r="G139" s="134" t="s">
        <v>968</v>
      </c>
      <c r="H139" s="134"/>
      <c r="I139" s="134"/>
      <c r="L139" s="134" t="s">
        <v>968</v>
      </c>
      <c r="M139" s="134"/>
      <c r="N139" s="134"/>
      <c r="O139" s="89"/>
      <c r="R139" s="134" t="s">
        <v>968</v>
      </c>
      <c r="S139" s="134"/>
      <c r="T139" s="134"/>
    </row>
    <row r="140" spans="2:20" ht="15" customHeight="1" x14ac:dyDescent="0.25">
      <c r="B140" s="134"/>
      <c r="C140" s="134"/>
      <c r="D140" s="134"/>
      <c r="G140" s="134"/>
      <c r="H140" s="134"/>
      <c r="I140" s="134"/>
      <c r="L140" s="134"/>
      <c r="M140" s="134"/>
      <c r="N140" s="134"/>
      <c r="O140" s="89"/>
      <c r="R140" s="134"/>
      <c r="S140" s="134"/>
      <c r="T140" s="134"/>
    </row>
    <row r="141" spans="2:20" ht="15" customHeight="1" x14ac:dyDescent="0.25">
      <c r="B141" s="134"/>
      <c r="C141" s="134"/>
      <c r="D141" s="134"/>
      <c r="G141" s="134"/>
      <c r="H141" s="134"/>
      <c r="I141" s="134"/>
      <c r="L141" s="134"/>
      <c r="M141" s="134"/>
      <c r="N141" s="134"/>
      <c r="O141" s="89"/>
      <c r="R141" s="134"/>
      <c r="S141" s="134"/>
      <c r="T141" s="134"/>
    </row>
    <row r="142" spans="2:20" ht="15" customHeight="1" x14ac:dyDescent="0.25">
      <c r="B142" s="134"/>
      <c r="C142" s="134"/>
      <c r="D142" s="134"/>
      <c r="G142" s="134"/>
      <c r="H142" s="134"/>
      <c r="I142" s="134"/>
      <c r="L142" s="134"/>
      <c r="M142" s="134"/>
      <c r="N142" s="134"/>
      <c r="O142" s="89"/>
      <c r="R142" s="134"/>
      <c r="S142" s="134"/>
      <c r="T142" s="134"/>
    </row>
    <row r="143" spans="2:20" ht="15" customHeight="1" x14ac:dyDescent="0.25">
      <c r="B143" s="134"/>
      <c r="C143" s="134"/>
      <c r="D143" s="134"/>
      <c r="G143" s="134"/>
      <c r="H143" s="134"/>
      <c r="I143" s="134"/>
      <c r="L143" s="134"/>
      <c r="M143" s="134"/>
      <c r="N143" s="134"/>
      <c r="O143" s="89"/>
      <c r="R143" s="134"/>
      <c r="S143" s="134"/>
      <c r="T143" s="134"/>
    </row>
    <row r="144" spans="2:20" ht="37.5" customHeight="1" x14ac:dyDescent="0.25">
      <c r="B144" s="134"/>
      <c r="C144" s="134"/>
      <c r="D144" s="134"/>
      <c r="G144" s="134"/>
      <c r="H144" s="134"/>
      <c r="I144" s="134"/>
      <c r="L144" s="134"/>
      <c r="M144" s="134"/>
      <c r="N144" s="134"/>
      <c r="O144" s="89"/>
      <c r="R144" s="134"/>
      <c r="S144" s="134"/>
      <c r="T144" s="134"/>
    </row>
    <row r="145" spans="2:20" ht="15" customHeight="1" x14ac:dyDescent="0.25">
      <c r="B145" s="85"/>
      <c r="C145" s="84"/>
      <c r="D145" s="83"/>
      <c r="G145" s="85"/>
      <c r="H145" s="84"/>
      <c r="I145" s="83"/>
      <c r="L145" s="85"/>
      <c r="M145" s="84"/>
      <c r="N145" s="83"/>
      <c r="O145" s="89"/>
      <c r="R145" s="85"/>
      <c r="S145" s="84"/>
      <c r="T145" s="83"/>
    </row>
    <row r="146" spans="2:20" ht="27" x14ac:dyDescent="0.25">
      <c r="B146" s="87">
        <v>1</v>
      </c>
      <c r="C146" s="88" t="str">
        <f t="shared" ref="C146:C153" si="12">C162</f>
        <v>ITAMBE - 429</v>
      </c>
      <c r="D146" s="86"/>
      <c r="G146" s="87">
        <v>1</v>
      </c>
      <c r="H146" s="88" t="str">
        <f>H162</f>
        <v>SANTANA DO PARAISO - 389</v>
      </c>
      <c r="I146" s="86"/>
      <c r="L146" s="87">
        <v>1</v>
      </c>
      <c r="M146" s="88">
        <f t="shared" ref="M146:M156" si="13">M162</f>
        <v>0</v>
      </c>
      <c r="N146" s="86"/>
      <c r="O146" s="89"/>
      <c r="R146" s="87">
        <v>1</v>
      </c>
      <c r="S146" s="88">
        <f t="shared" ref="S146:S156" si="14">S162</f>
        <v>0</v>
      </c>
      <c r="T146" s="86"/>
    </row>
    <row r="147" spans="2:20" ht="27" x14ac:dyDescent="0.25">
      <c r="B147" s="87">
        <f t="shared" ref="B147:B153" si="15">B146+1</f>
        <v>2</v>
      </c>
      <c r="C147" s="88" t="str">
        <f t="shared" si="12"/>
        <v>ITAPETINGA - 362</v>
      </c>
      <c r="D147" s="86"/>
      <c r="G147" s="87">
        <f>G146+1</f>
        <v>2</v>
      </c>
      <c r="H147" s="88" t="str">
        <f>H163</f>
        <v>BELO ORIENTE - 344</v>
      </c>
      <c r="I147" s="86"/>
      <c r="L147" s="87">
        <f t="shared" ref="L147:L156" si="16">L146+1</f>
        <v>2</v>
      </c>
      <c r="M147" s="88">
        <f t="shared" si="13"/>
        <v>0</v>
      </c>
      <c r="N147" s="86"/>
      <c r="O147" s="89"/>
      <c r="R147" s="87">
        <f t="shared" ref="R147:R156" si="17">R146+1</f>
        <v>2</v>
      </c>
      <c r="S147" s="88">
        <f t="shared" si="14"/>
        <v>0</v>
      </c>
      <c r="T147" s="86"/>
    </row>
    <row r="148" spans="2:20" ht="27" x14ac:dyDescent="0.25">
      <c r="B148" s="87">
        <f t="shared" si="15"/>
        <v>3</v>
      </c>
      <c r="C148" s="88" t="str">
        <f t="shared" si="12"/>
        <v>ITORORO - 517</v>
      </c>
      <c r="D148" s="86"/>
      <c r="G148" s="87">
        <f>G147+1</f>
        <v>3</v>
      </c>
      <c r="H148" s="88" t="str">
        <f>H164</f>
        <v>NAQUE - 363</v>
      </c>
      <c r="I148" s="86"/>
      <c r="L148" s="87">
        <f t="shared" si="16"/>
        <v>3</v>
      </c>
      <c r="M148" s="88">
        <f t="shared" si="13"/>
        <v>0</v>
      </c>
      <c r="N148" s="86"/>
      <c r="O148" s="89"/>
      <c r="R148" s="87">
        <f t="shared" si="17"/>
        <v>3</v>
      </c>
      <c r="S148" s="88">
        <f t="shared" si="14"/>
        <v>0</v>
      </c>
      <c r="T148" s="86"/>
    </row>
    <row r="149" spans="2:20" ht="27" x14ac:dyDescent="0.25">
      <c r="B149" s="87">
        <f t="shared" si="15"/>
        <v>4</v>
      </c>
      <c r="C149" s="88" t="str">
        <f t="shared" si="12"/>
        <v>ALMOÇO</v>
      </c>
      <c r="D149" s="86"/>
      <c r="G149" s="87"/>
      <c r="H149" s="88"/>
      <c r="I149" s="86"/>
      <c r="L149" s="87">
        <f t="shared" si="16"/>
        <v>4</v>
      </c>
      <c r="M149" s="88">
        <f t="shared" si="13"/>
        <v>0</v>
      </c>
      <c r="N149" s="86"/>
      <c r="O149" s="89"/>
      <c r="R149" s="87">
        <f t="shared" si="17"/>
        <v>4</v>
      </c>
      <c r="S149" s="88">
        <f t="shared" si="14"/>
        <v>0</v>
      </c>
      <c r="T149" s="86"/>
    </row>
    <row r="150" spans="2:20" ht="27" x14ac:dyDescent="0.25">
      <c r="B150" s="87">
        <f t="shared" si="15"/>
        <v>5</v>
      </c>
      <c r="C150" s="88" t="str">
        <f t="shared" si="12"/>
        <v>IBICUI - 385</v>
      </c>
      <c r="D150" s="86"/>
      <c r="G150" s="87"/>
      <c r="H150" s="88"/>
      <c r="I150" s="86"/>
      <c r="L150" s="87">
        <f t="shared" si="16"/>
        <v>5</v>
      </c>
      <c r="M150" s="88">
        <f t="shared" si="13"/>
        <v>0</v>
      </c>
      <c r="N150" s="86"/>
      <c r="O150" s="89"/>
      <c r="R150" s="87">
        <f t="shared" si="17"/>
        <v>5</v>
      </c>
      <c r="S150" s="88">
        <f t="shared" si="14"/>
        <v>0</v>
      </c>
      <c r="T150" s="86"/>
    </row>
    <row r="151" spans="2:20" ht="27" x14ac:dyDescent="0.25">
      <c r="B151" s="87">
        <f t="shared" si="15"/>
        <v>6</v>
      </c>
      <c r="C151" s="88" t="str">
        <f t="shared" si="12"/>
        <v>IGUAI - 325</v>
      </c>
      <c r="D151" s="86"/>
      <c r="G151" s="87"/>
      <c r="H151" s="88"/>
      <c r="I151" s="86"/>
      <c r="L151" s="87">
        <f t="shared" si="16"/>
        <v>6</v>
      </c>
      <c r="M151" s="88">
        <f t="shared" si="13"/>
        <v>0</v>
      </c>
      <c r="N151" s="86"/>
      <c r="O151" s="89"/>
      <c r="R151" s="87">
        <f t="shared" si="17"/>
        <v>6</v>
      </c>
      <c r="S151" s="88">
        <f t="shared" si="14"/>
        <v>0</v>
      </c>
      <c r="T151" s="86"/>
    </row>
    <row r="152" spans="2:20" ht="27" x14ac:dyDescent="0.25">
      <c r="B152" s="87">
        <f t="shared" si="15"/>
        <v>7</v>
      </c>
      <c r="C152" s="88" t="str">
        <f t="shared" si="12"/>
        <v>PLANALTO - 240</v>
      </c>
      <c r="D152" s="86"/>
      <c r="G152" s="87"/>
      <c r="H152" s="88"/>
      <c r="I152" s="86"/>
      <c r="L152" s="87">
        <f t="shared" si="16"/>
        <v>7</v>
      </c>
      <c r="M152" s="88">
        <f t="shared" si="13"/>
        <v>0</v>
      </c>
      <c r="N152" s="86"/>
      <c r="O152" s="89"/>
      <c r="R152" s="87">
        <f t="shared" si="17"/>
        <v>7</v>
      </c>
      <c r="S152" s="88">
        <f t="shared" si="14"/>
        <v>0</v>
      </c>
      <c r="T152" s="86"/>
    </row>
    <row r="153" spans="2:20" ht="27" x14ac:dyDescent="0.25">
      <c r="B153" s="87">
        <f t="shared" si="15"/>
        <v>8</v>
      </c>
      <c r="C153" s="88" t="str">
        <f t="shared" si="12"/>
        <v>CARREGAMENTO</v>
      </c>
      <c r="D153" s="86"/>
      <c r="G153" s="87"/>
      <c r="H153" s="88"/>
      <c r="I153" s="86"/>
      <c r="L153" s="87">
        <f t="shared" si="16"/>
        <v>8</v>
      </c>
      <c r="M153" s="88">
        <f t="shared" si="13"/>
        <v>0</v>
      </c>
      <c r="N153" s="86"/>
      <c r="O153" s="89"/>
      <c r="R153" s="87">
        <f t="shared" si="17"/>
        <v>8</v>
      </c>
      <c r="S153" s="88">
        <f t="shared" si="14"/>
        <v>0</v>
      </c>
      <c r="T153" s="86"/>
    </row>
    <row r="154" spans="2:20" ht="27" x14ac:dyDescent="0.25">
      <c r="B154" s="87"/>
      <c r="C154" s="88"/>
      <c r="D154" s="82"/>
      <c r="G154" s="87"/>
      <c r="H154" s="88"/>
      <c r="I154" s="82"/>
      <c r="L154" s="87">
        <f t="shared" si="16"/>
        <v>9</v>
      </c>
      <c r="M154" s="88">
        <f t="shared" si="13"/>
        <v>0</v>
      </c>
      <c r="N154" s="82"/>
      <c r="O154" s="89"/>
      <c r="R154" s="87">
        <f t="shared" si="17"/>
        <v>9</v>
      </c>
      <c r="S154" s="88">
        <f t="shared" si="14"/>
        <v>0</v>
      </c>
      <c r="T154" s="82"/>
    </row>
    <row r="155" spans="2:20" ht="27" x14ac:dyDescent="0.25">
      <c r="B155" s="87"/>
      <c r="C155" s="88"/>
      <c r="D155" s="82"/>
      <c r="G155" s="87"/>
      <c r="H155" s="88"/>
      <c r="I155" s="82"/>
      <c r="L155" s="87">
        <f t="shared" si="16"/>
        <v>10</v>
      </c>
      <c r="M155" s="88">
        <f t="shared" si="13"/>
        <v>0</v>
      </c>
      <c r="N155" s="82"/>
      <c r="O155" s="89"/>
      <c r="R155" s="87">
        <f t="shared" si="17"/>
        <v>10</v>
      </c>
      <c r="S155" s="88">
        <f t="shared" si="14"/>
        <v>0</v>
      </c>
      <c r="T155" s="82"/>
    </row>
    <row r="156" spans="2:20" s="89" customFormat="1" ht="27" x14ac:dyDescent="0.25">
      <c r="B156" s="87"/>
      <c r="C156" s="88"/>
      <c r="D156" s="92"/>
      <c r="G156" s="87"/>
      <c r="H156" s="88"/>
      <c r="I156" s="92"/>
      <c r="L156" s="87">
        <f t="shared" si="16"/>
        <v>11</v>
      </c>
      <c r="M156" s="88">
        <f t="shared" si="13"/>
        <v>0</v>
      </c>
      <c r="N156" s="92"/>
      <c r="R156" s="87">
        <f t="shared" si="17"/>
        <v>11</v>
      </c>
      <c r="S156" s="88">
        <f t="shared" si="14"/>
        <v>0</v>
      </c>
      <c r="T156" s="92"/>
    </row>
    <row r="157" spans="2:20" s="89" customFormat="1" ht="15.75" customHeight="1" x14ac:dyDescent="0.25"/>
    <row r="158" spans="2:20" ht="15.75" customHeight="1" x14ac:dyDescent="0.25">
      <c r="B158" s="89"/>
      <c r="C158" s="89"/>
      <c r="D158" s="89"/>
      <c r="G158" s="89"/>
      <c r="H158" s="89"/>
      <c r="I158" s="89"/>
      <c r="M158" s="89"/>
      <c r="N158" s="89"/>
      <c r="O158" s="89"/>
      <c r="R158" s="89"/>
      <c r="S158" s="89"/>
      <c r="T158" s="89"/>
    </row>
    <row r="159" spans="2:20" ht="19.5" customHeight="1" x14ac:dyDescent="0.25">
      <c r="B159" s="131" t="s">
        <v>834</v>
      </c>
      <c r="C159" s="132"/>
      <c r="D159" s="133"/>
      <c r="G159" s="131" t="s">
        <v>834</v>
      </c>
      <c r="H159" s="132"/>
      <c r="I159" s="133"/>
      <c r="L159" s="131" t="s">
        <v>834</v>
      </c>
      <c r="M159" s="132"/>
      <c r="N159" s="133"/>
      <c r="O159" s="89"/>
      <c r="R159" s="131" t="s">
        <v>834</v>
      </c>
      <c r="S159" s="132"/>
      <c r="T159" s="133"/>
    </row>
    <row r="160" spans="2:20" ht="15.75" customHeight="1" x14ac:dyDescent="0.25">
      <c r="B160" s="112" t="s">
        <v>895</v>
      </c>
      <c r="C160" s="103" t="s">
        <v>646</v>
      </c>
      <c r="D160" s="114" t="s">
        <v>250</v>
      </c>
      <c r="G160" s="112" t="s">
        <v>848</v>
      </c>
      <c r="H160" s="103" t="s">
        <v>745</v>
      </c>
      <c r="I160" s="104" t="s">
        <v>864</v>
      </c>
      <c r="L160" s="55"/>
      <c r="M160" s="56"/>
      <c r="N160" s="57"/>
      <c r="O160" s="89"/>
      <c r="R160" s="55"/>
      <c r="S160" s="56"/>
      <c r="T160" s="57"/>
    </row>
    <row r="161" spans="2:20" ht="15.75" customHeight="1" x14ac:dyDescent="0.25">
      <c r="B161" s="116"/>
      <c r="C161" s="97"/>
      <c r="D161" s="97"/>
      <c r="G161" s="116"/>
      <c r="H161" s="97"/>
      <c r="I161" s="97"/>
      <c r="L161" s="59"/>
      <c r="M161" s="60"/>
      <c r="N161" s="61"/>
      <c r="O161" s="89"/>
      <c r="R161" s="59"/>
      <c r="S161" s="60"/>
      <c r="T161" s="61"/>
    </row>
    <row r="162" spans="2:20" ht="15.75" customHeight="1" x14ac:dyDescent="0.25">
      <c r="B162" s="95">
        <v>45698</v>
      </c>
      <c r="C162" s="100" t="s">
        <v>896</v>
      </c>
      <c r="D162" s="94">
        <v>0.33333333333333331</v>
      </c>
      <c r="G162" s="95">
        <v>45698</v>
      </c>
      <c r="H162" s="100" t="s">
        <v>944</v>
      </c>
      <c r="I162" s="94">
        <v>0.33333333333333331</v>
      </c>
      <c r="L162" s="59"/>
      <c r="M162" s="63"/>
      <c r="N162" s="61"/>
      <c r="O162" s="89"/>
      <c r="R162" s="59"/>
      <c r="S162" s="63"/>
      <c r="T162" s="61"/>
    </row>
    <row r="163" spans="2:20" ht="15.75" customHeight="1" x14ac:dyDescent="0.25">
      <c r="B163" s="95">
        <v>45698</v>
      </c>
      <c r="C163" s="106" t="s">
        <v>897</v>
      </c>
      <c r="D163" s="94">
        <v>0.41666666666666669</v>
      </c>
      <c r="G163" s="95">
        <v>45698</v>
      </c>
      <c r="H163" s="100" t="s">
        <v>945</v>
      </c>
      <c r="I163" s="94">
        <v>0.4375</v>
      </c>
      <c r="L163" s="59"/>
      <c r="M163" s="64"/>
      <c r="N163" s="61"/>
      <c r="O163" s="89"/>
      <c r="R163" s="59"/>
      <c r="S163" s="64"/>
      <c r="T163" s="61"/>
    </row>
    <row r="164" spans="2:20" ht="15.75" customHeight="1" x14ac:dyDescent="0.25">
      <c r="B164" s="95">
        <v>45698</v>
      </c>
      <c r="C164" s="100" t="s">
        <v>898</v>
      </c>
      <c r="D164" s="94">
        <v>0.52083333333333337</v>
      </c>
      <c r="G164" s="95">
        <v>45698</v>
      </c>
      <c r="H164" s="100" t="s">
        <v>946</v>
      </c>
      <c r="I164" s="94">
        <v>0.5625</v>
      </c>
      <c r="L164" s="59"/>
      <c r="M164" s="65"/>
      <c r="N164" s="61"/>
      <c r="O164" s="89"/>
      <c r="R164" s="59"/>
      <c r="S164" s="65"/>
      <c r="T164" s="61"/>
    </row>
    <row r="165" spans="2:20" ht="15.75" customHeight="1" x14ac:dyDescent="0.25">
      <c r="B165" s="95">
        <v>45698</v>
      </c>
      <c r="C165" s="119" t="s">
        <v>835</v>
      </c>
      <c r="D165" s="120" t="s">
        <v>863</v>
      </c>
      <c r="G165" s="96"/>
      <c r="H165" s="100"/>
      <c r="I165" s="94"/>
      <c r="L165" s="59"/>
      <c r="M165" s="66"/>
      <c r="N165" s="61"/>
      <c r="O165" s="89"/>
      <c r="R165" s="59"/>
      <c r="S165" s="66"/>
      <c r="T165" s="61"/>
    </row>
    <row r="166" spans="2:20" ht="15.75" customHeight="1" x14ac:dyDescent="0.25">
      <c r="B166" s="95">
        <v>45698</v>
      </c>
      <c r="C166" s="100" t="s">
        <v>899</v>
      </c>
      <c r="D166" s="94">
        <v>0.625</v>
      </c>
      <c r="G166" s="96"/>
      <c r="H166" s="98"/>
      <c r="I166" s="94"/>
      <c r="L166" s="59"/>
      <c r="M166" s="65"/>
      <c r="N166" s="61"/>
      <c r="O166" s="89"/>
      <c r="R166" s="59"/>
      <c r="S166" s="65"/>
      <c r="T166" s="61"/>
    </row>
    <row r="167" spans="2:20" ht="15.75" customHeight="1" x14ac:dyDescent="0.25">
      <c r="B167" s="95">
        <v>45698</v>
      </c>
      <c r="C167" s="100" t="s">
        <v>900</v>
      </c>
      <c r="D167" s="94">
        <v>0.66666666666666663</v>
      </c>
      <c r="G167" s="96"/>
      <c r="H167" s="98"/>
      <c r="I167" s="94"/>
      <c r="L167" s="59"/>
      <c r="M167" s="67"/>
      <c r="N167" s="61"/>
      <c r="O167" s="89"/>
      <c r="R167" s="59"/>
      <c r="S167" s="67"/>
      <c r="T167" s="61"/>
    </row>
    <row r="168" spans="2:20" ht="15.75" customHeight="1" x14ac:dyDescent="0.25">
      <c r="B168" s="102">
        <v>45699</v>
      </c>
      <c r="C168" s="100" t="s">
        <v>901</v>
      </c>
      <c r="D168" s="94">
        <v>0.33333333333333331</v>
      </c>
      <c r="G168" s="96"/>
      <c r="H168" s="99"/>
      <c r="I168" s="94"/>
      <c r="L168" s="59"/>
      <c r="M168" s="63"/>
      <c r="N168" s="61"/>
      <c r="O168" s="89"/>
      <c r="R168" s="59"/>
      <c r="S168" s="63"/>
      <c r="T168" s="61"/>
    </row>
    <row r="169" spans="2:20" ht="15.75" customHeight="1" x14ac:dyDescent="0.25">
      <c r="B169" s="105">
        <v>45700</v>
      </c>
      <c r="C169" s="121" t="s">
        <v>836</v>
      </c>
      <c r="D169" s="122" t="s">
        <v>902</v>
      </c>
      <c r="G169" s="96"/>
      <c r="H169" s="99"/>
      <c r="I169" s="94"/>
      <c r="L169" s="59"/>
      <c r="M169" s="65"/>
      <c r="N169" s="61"/>
      <c r="O169" s="89"/>
      <c r="R169" s="59"/>
      <c r="S169" s="65"/>
      <c r="T169" s="61"/>
    </row>
    <row r="170" spans="2:20" ht="15.75" customHeight="1" x14ac:dyDescent="0.25">
      <c r="B170" s="96"/>
      <c r="C170" s="99"/>
      <c r="D170" s="94"/>
      <c r="G170" s="96"/>
      <c r="H170" s="99"/>
      <c r="I170" s="94"/>
      <c r="L170" s="59"/>
      <c r="M170" s="63"/>
      <c r="N170" s="61"/>
      <c r="O170" s="89"/>
      <c r="R170" s="59"/>
      <c r="S170" s="63"/>
      <c r="T170" s="61"/>
    </row>
    <row r="171" spans="2:20" ht="15.75" customHeight="1" x14ac:dyDescent="0.25">
      <c r="B171" s="113" t="s">
        <v>381</v>
      </c>
      <c r="C171" s="110"/>
      <c r="D171" s="111" t="str">
        <f>VLOOKUP(C160,'BANCO DE DADOS'!$B$2:$D$260,3,FALSE)</f>
        <v>(34) 9 8845-3461</v>
      </c>
      <c r="G171" s="113" t="s">
        <v>381</v>
      </c>
      <c r="H171" s="110"/>
      <c r="I171" s="111" t="str">
        <f>VLOOKUP(H160,'BANCO DE DADOS'!$B$2:$D$260,3,FALSE)</f>
        <v>(34) 9 8834-2965</v>
      </c>
      <c r="L171" s="59"/>
      <c r="M171" s="63"/>
      <c r="N171" s="68"/>
      <c r="O171" s="89"/>
      <c r="R171" s="59"/>
      <c r="S171" s="63"/>
      <c r="T171" s="68"/>
    </row>
    <row r="172" spans="2:20" ht="15.75" customHeight="1" x14ac:dyDescent="0.25">
      <c r="B172" s="59"/>
      <c r="C172" s="63"/>
      <c r="D172" s="61"/>
      <c r="G172" s="59"/>
      <c r="H172" s="63"/>
      <c r="I172" s="61"/>
      <c r="L172" s="59"/>
      <c r="M172" s="63"/>
      <c r="N172" s="61"/>
      <c r="O172" s="89"/>
      <c r="R172" s="59"/>
      <c r="S172" s="63"/>
      <c r="T172" s="61"/>
    </row>
    <row r="173" spans="2:20" ht="15.75" customHeight="1" x14ac:dyDescent="0.25">
      <c r="B173" s="59"/>
      <c r="C173" s="63"/>
      <c r="D173" s="61"/>
      <c r="G173" s="59"/>
      <c r="H173" s="63"/>
      <c r="I173" s="61"/>
      <c r="L173" s="59"/>
      <c r="M173" s="63"/>
      <c r="N173" s="61"/>
      <c r="O173" s="89"/>
      <c r="R173" s="59"/>
      <c r="S173" s="63"/>
      <c r="T173" s="61"/>
    </row>
    <row r="174" spans="2:20" ht="15.75" customHeight="1" x14ac:dyDescent="0.25">
      <c r="B174" s="59"/>
      <c r="C174" s="66"/>
      <c r="D174" s="61"/>
      <c r="G174" s="59"/>
      <c r="H174" s="66"/>
      <c r="I174" s="61"/>
      <c r="L174" s="59"/>
      <c r="M174" s="66"/>
      <c r="N174" s="61"/>
      <c r="O174" s="89"/>
      <c r="R174" s="59"/>
      <c r="S174" s="66"/>
      <c r="T174" s="61"/>
    </row>
    <row r="175" spans="2:20" ht="15.75" customHeight="1" x14ac:dyDescent="0.25">
      <c r="B175" s="59"/>
      <c r="C175" s="63"/>
      <c r="D175" s="61"/>
      <c r="G175" s="59"/>
      <c r="H175" s="63"/>
      <c r="I175" s="61"/>
      <c r="L175" s="59"/>
      <c r="M175" s="63"/>
      <c r="N175" s="61"/>
      <c r="O175" s="89"/>
      <c r="R175" s="59"/>
      <c r="S175" s="63"/>
      <c r="T175" s="61"/>
    </row>
    <row r="176" spans="2:20" ht="15.75" customHeight="1" x14ac:dyDescent="0.25">
      <c r="B176" s="59"/>
      <c r="C176" s="63"/>
      <c r="D176" s="68"/>
      <c r="G176" s="59"/>
      <c r="H176" s="63"/>
      <c r="I176" s="68"/>
      <c r="L176" s="59"/>
      <c r="M176" s="63"/>
      <c r="N176" s="68"/>
      <c r="O176" s="89"/>
      <c r="R176" s="59"/>
      <c r="S176" s="63"/>
      <c r="T176" s="68"/>
    </row>
    <row r="177" spans="2:20" ht="15.75" customHeight="1" x14ac:dyDescent="0.25">
      <c r="B177" s="59"/>
      <c r="C177" s="63"/>
      <c r="D177" s="68"/>
      <c r="G177" s="59"/>
      <c r="H177" s="63"/>
      <c r="I177" s="68"/>
      <c r="L177" s="59"/>
      <c r="M177" s="63"/>
      <c r="N177" s="68"/>
      <c r="O177" s="89"/>
      <c r="R177" s="59"/>
      <c r="S177" s="63"/>
      <c r="T177" s="68"/>
    </row>
    <row r="178" spans="2:20" x14ac:dyDescent="0.25">
      <c r="B178" s="70"/>
      <c r="C178" s="71"/>
      <c r="D178" s="61"/>
      <c r="G178" s="70"/>
      <c r="H178" s="71"/>
      <c r="I178" s="61"/>
      <c r="L178" s="70"/>
      <c r="M178" s="71"/>
      <c r="N178" s="61"/>
      <c r="O178" s="89"/>
      <c r="R178" s="70"/>
      <c r="S178" s="71"/>
      <c r="T178" s="61"/>
    </row>
    <row r="179" spans="2:20" x14ac:dyDescent="0.25">
      <c r="B179" s="70"/>
      <c r="C179" s="60"/>
      <c r="D179" s="68"/>
      <c r="G179" s="70"/>
      <c r="H179" s="60"/>
      <c r="I179" s="68"/>
      <c r="L179" s="70"/>
      <c r="M179" s="60"/>
      <c r="N179" s="68"/>
      <c r="O179" s="89"/>
      <c r="R179" s="70"/>
      <c r="S179" s="60"/>
      <c r="T179" s="68"/>
    </row>
    <row r="180" spans="2:20" x14ac:dyDescent="0.25">
      <c r="B180" s="70"/>
      <c r="C180" s="38"/>
      <c r="D180" s="68"/>
      <c r="G180" s="70"/>
      <c r="H180" s="38"/>
      <c r="I180" s="68"/>
      <c r="L180" s="70"/>
      <c r="M180" s="38"/>
      <c r="N180" s="68"/>
      <c r="O180" s="89"/>
      <c r="R180" s="70"/>
      <c r="S180" s="38"/>
      <c r="T180" s="68"/>
    </row>
    <row r="181" spans="2:20" ht="15.75" customHeight="1" x14ac:dyDescent="0.25">
      <c r="B181" s="72"/>
      <c r="C181" s="73"/>
      <c r="D181" s="74"/>
      <c r="G181" s="72"/>
      <c r="H181" s="73"/>
      <c r="I181" s="74"/>
      <c r="L181" s="72"/>
      <c r="M181" s="73"/>
      <c r="N181" s="74"/>
      <c r="O181" s="89"/>
      <c r="R181" s="72"/>
      <c r="S181" s="73"/>
      <c r="T181" s="74"/>
    </row>
    <row r="182" spans="2:20" s="89" customFormat="1" x14ac:dyDescent="0.25">
      <c r="B182" s="90"/>
      <c r="C182" s="91"/>
      <c r="D182" s="93"/>
      <c r="G182" s="90"/>
      <c r="H182" s="91"/>
      <c r="I182" s="93"/>
      <c r="L182" s="90"/>
      <c r="M182" s="91"/>
      <c r="N182" s="93"/>
      <c r="R182" s="90"/>
      <c r="S182" s="91"/>
      <c r="T182" s="93"/>
    </row>
    <row r="183" spans="2:20" s="89" customFormat="1" x14ac:dyDescent="0.25">
      <c r="B183" s="90"/>
      <c r="C183" s="91"/>
      <c r="D183" s="81"/>
      <c r="G183" s="90"/>
      <c r="H183" s="91"/>
      <c r="I183" s="81"/>
      <c r="L183" s="90"/>
      <c r="M183" s="91"/>
      <c r="N183" s="81"/>
      <c r="R183" s="90"/>
      <c r="S183" s="91"/>
      <c r="T183" s="81"/>
    </row>
    <row r="184" spans="2:20" s="89" customFormat="1" x14ac:dyDescent="0.25"/>
    <row r="185" spans="2:20" s="89" customFormat="1" x14ac:dyDescent="0.25"/>
    <row r="186" spans="2:20" x14ac:dyDescent="0.25">
      <c r="B186" s="134" t="s">
        <v>968</v>
      </c>
      <c r="C186" s="134"/>
      <c r="D186" s="134"/>
      <c r="G186" s="134" t="s">
        <v>968</v>
      </c>
      <c r="H186" s="134"/>
      <c r="I186" s="134"/>
      <c r="L186" s="134" t="s">
        <v>968</v>
      </c>
      <c r="M186" s="134"/>
      <c r="N186" s="134"/>
      <c r="O186" s="89"/>
      <c r="R186" s="134" t="s">
        <v>968</v>
      </c>
      <c r="S186" s="134"/>
      <c r="T186" s="134"/>
    </row>
    <row r="187" spans="2:20" ht="15" customHeight="1" x14ac:dyDescent="0.25">
      <c r="B187" s="134"/>
      <c r="C187" s="134"/>
      <c r="D187" s="134"/>
      <c r="G187" s="134"/>
      <c r="H187" s="134"/>
      <c r="I187" s="134"/>
      <c r="L187" s="134"/>
      <c r="M187" s="134"/>
      <c r="N187" s="134"/>
      <c r="O187" s="89"/>
      <c r="R187" s="134"/>
      <c r="S187" s="134"/>
      <c r="T187" s="134"/>
    </row>
    <row r="188" spans="2:20" ht="15" customHeight="1" x14ac:dyDescent="0.25">
      <c r="B188" s="134"/>
      <c r="C188" s="134"/>
      <c r="D188" s="134"/>
      <c r="G188" s="134"/>
      <c r="H188" s="134"/>
      <c r="I188" s="134"/>
      <c r="L188" s="134"/>
      <c r="M188" s="134"/>
      <c r="N188" s="134"/>
      <c r="O188" s="89"/>
      <c r="R188" s="134"/>
      <c r="S188" s="134"/>
      <c r="T188" s="134"/>
    </row>
    <row r="189" spans="2:20" ht="15" customHeight="1" x14ac:dyDescent="0.25">
      <c r="B189" s="134"/>
      <c r="C189" s="134"/>
      <c r="D189" s="134"/>
      <c r="G189" s="134"/>
      <c r="H189" s="134"/>
      <c r="I189" s="134"/>
      <c r="L189" s="134"/>
      <c r="M189" s="134"/>
      <c r="N189" s="134"/>
      <c r="O189" s="89"/>
      <c r="R189" s="134"/>
      <c r="S189" s="134"/>
      <c r="T189" s="134"/>
    </row>
    <row r="190" spans="2:20" ht="15" customHeight="1" x14ac:dyDescent="0.25">
      <c r="B190" s="134"/>
      <c r="C190" s="134"/>
      <c r="D190" s="134"/>
      <c r="G190" s="134"/>
      <c r="H190" s="134"/>
      <c r="I190" s="134"/>
      <c r="L190" s="134"/>
      <c r="M190" s="134"/>
      <c r="N190" s="134"/>
      <c r="O190" s="89"/>
      <c r="R190" s="134"/>
      <c r="S190" s="134"/>
      <c r="T190" s="134"/>
    </row>
    <row r="191" spans="2:20" ht="32.25" customHeight="1" x14ac:dyDescent="0.25">
      <c r="B191" s="134"/>
      <c r="C191" s="134"/>
      <c r="D191" s="134"/>
      <c r="G191" s="134"/>
      <c r="H191" s="134"/>
      <c r="I191" s="134"/>
      <c r="L191" s="134"/>
      <c r="M191" s="134"/>
      <c r="N191" s="134"/>
      <c r="O191" s="89"/>
      <c r="R191" s="134"/>
      <c r="S191" s="134"/>
      <c r="T191" s="134"/>
    </row>
    <row r="192" spans="2:20" ht="15" customHeight="1" x14ac:dyDescent="0.25">
      <c r="B192" s="85"/>
      <c r="C192" s="84"/>
      <c r="D192" s="83"/>
      <c r="G192" s="85"/>
      <c r="H192" s="84"/>
      <c r="I192" s="83"/>
      <c r="L192" s="85"/>
      <c r="M192" s="84"/>
      <c r="N192" s="83"/>
      <c r="O192" s="89"/>
      <c r="R192" s="85"/>
      <c r="S192" s="84"/>
      <c r="T192" s="83"/>
    </row>
    <row r="193" spans="2:20" ht="27" x14ac:dyDescent="0.25">
      <c r="B193" s="87">
        <v>1</v>
      </c>
      <c r="C193" s="88" t="str">
        <f t="shared" ref="C193:C200" si="18">C209</f>
        <v>TANQUE NOVO - 238</v>
      </c>
      <c r="D193" s="86"/>
      <c r="G193" s="87">
        <v>1</v>
      </c>
      <c r="H193" s="88" t="str">
        <f>H209</f>
        <v>VARGEM ALTA - 393</v>
      </c>
      <c r="I193" s="86"/>
      <c r="L193" s="87">
        <v>1</v>
      </c>
      <c r="M193" s="88">
        <f t="shared" ref="M193:M203" si="19">M209</f>
        <v>0</v>
      </c>
      <c r="N193" s="86"/>
      <c r="O193" s="89"/>
      <c r="R193" s="87">
        <v>1</v>
      </c>
      <c r="S193" s="88">
        <f t="shared" ref="S193:S203" si="20">S209</f>
        <v>0</v>
      </c>
      <c r="T193" s="86"/>
    </row>
    <row r="194" spans="2:20" ht="27" x14ac:dyDescent="0.25">
      <c r="B194" s="87">
        <f t="shared" ref="B194:B200" si="21">B193+1</f>
        <v>2</v>
      </c>
      <c r="C194" s="88" t="str">
        <f t="shared" si="18"/>
        <v>MACAUBAS - 297</v>
      </c>
      <c r="D194" s="86"/>
      <c r="G194" s="87">
        <f>G193+1</f>
        <v>2</v>
      </c>
      <c r="H194" s="88" t="str">
        <f>H210</f>
        <v>GUARAPARI - 527</v>
      </c>
      <c r="I194" s="86"/>
      <c r="L194" s="87">
        <f t="shared" ref="L194:L203" si="22">L193+1</f>
        <v>2</v>
      </c>
      <c r="M194" s="88">
        <f t="shared" si="19"/>
        <v>0</v>
      </c>
      <c r="N194" s="86"/>
      <c r="O194" s="89"/>
      <c r="R194" s="87">
        <f t="shared" ref="R194:R203" si="23">R193+1</f>
        <v>2</v>
      </c>
      <c r="S194" s="88">
        <f t="shared" si="20"/>
        <v>0</v>
      </c>
      <c r="T194" s="86"/>
    </row>
    <row r="195" spans="2:20" ht="27" x14ac:dyDescent="0.25">
      <c r="B195" s="87">
        <f t="shared" si="21"/>
        <v>3</v>
      </c>
      <c r="C195" s="88" t="str">
        <f t="shared" si="18"/>
        <v>ALMOÇO</v>
      </c>
      <c r="D195" s="86"/>
      <c r="G195" s="87"/>
      <c r="H195" s="88"/>
      <c r="I195" s="86"/>
      <c r="L195" s="87">
        <f t="shared" si="22"/>
        <v>3</v>
      </c>
      <c r="M195" s="88">
        <f t="shared" si="19"/>
        <v>0</v>
      </c>
      <c r="N195" s="86"/>
      <c r="O195" s="89"/>
      <c r="R195" s="87">
        <f t="shared" si="23"/>
        <v>3</v>
      </c>
      <c r="S195" s="88">
        <f t="shared" si="20"/>
        <v>0</v>
      </c>
      <c r="T195" s="86"/>
    </row>
    <row r="196" spans="2:20" ht="27" x14ac:dyDescent="0.25">
      <c r="B196" s="87">
        <f t="shared" si="21"/>
        <v>4</v>
      </c>
      <c r="C196" s="88" t="str">
        <f t="shared" si="18"/>
        <v>PARAMIRIM - 242</v>
      </c>
      <c r="D196" s="86"/>
      <c r="G196" s="87"/>
      <c r="H196" s="88"/>
      <c r="I196" s="86"/>
      <c r="L196" s="87">
        <f t="shared" si="22"/>
        <v>4</v>
      </c>
      <c r="M196" s="88">
        <f t="shared" si="19"/>
        <v>0</v>
      </c>
      <c r="N196" s="86"/>
      <c r="O196" s="89"/>
      <c r="R196" s="87">
        <f t="shared" si="23"/>
        <v>4</v>
      </c>
      <c r="S196" s="88">
        <f t="shared" si="20"/>
        <v>0</v>
      </c>
      <c r="T196" s="86"/>
    </row>
    <row r="197" spans="2:20" ht="27" x14ac:dyDescent="0.25">
      <c r="B197" s="87">
        <f t="shared" si="21"/>
        <v>5</v>
      </c>
      <c r="C197" s="88" t="str">
        <f t="shared" si="18"/>
        <v>LIVRAMENTO DE NOSSA SENHORA - 446</v>
      </c>
      <c r="D197" s="86"/>
      <c r="G197" s="87"/>
      <c r="H197" s="88"/>
      <c r="I197" s="86"/>
      <c r="L197" s="87">
        <f t="shared" si="22"/>
        <v>5</v>
      </c>
      <c r="M197" s="88">
        <f t="shared" si="19"/>
        <v>0</v>
      </c>
      <c r="N197" s="86"/>
      <c r="O197" s="89"/>
      <c r="R197" s="87">
        <f t="shared" si="23"/>
        <v>5</v>
      </c>
      <c r="S197" s="88">
        <f t="shared" si="20"/>
        <v>0</v>
      </c>
      <c r="T197" s="86"/>
    </row>
    <row r="198" spans="2:20" ht="27" x14ac:dyDescent="0.25">
      <c r="B198" s="87">
        <f t="shared" si="21"/>
        <v>6</v>
      </c>
      <c r="C198" s="88" t="str">
        <f t="shared" si="18"/>
        <v>BRUMADO - 197</v>
      </c>
      <c r="D198" s="86"/>
      <c r="G198" s="87"/>
      <c r="H198" s="88"/>
      <c r="I198" s="86"/>
      <c r="L198" s="87">
        <f t="shared" si="22"/>
        <v>6</v>
      </c>
      <c r="M198" s="88">
        <f t="shared" si="19"/>
        <v>0</v>
      </c>
      <c r="N198" s="86"/>
      <c r="O198" s="89"/>
      <c r="R198" s="87">
        <f t="shared" si="23"/>
        <v>6</v>
      </c>
      <c r="S198" s="88">
        <f t="shared" si="20"/>
        <v>0</v>
      </c>
      <c r="T198" s="86"/>
    </row>
    <row r="199" spans="2:20" ht="27" x14ac:dyDescent="0.25">
      <c r="B199" s="87">
        <f t="shared" si="21"/>
        <v>7</v>
      </c>
      <c r="C199" s="88" t="str">
        <f t="shared" si="18"/>
        <v>ARACATU - 227</v>
      </c>
      <c r="D199" s="86"/>
      <c r="G199" s="87"/>
      <c r="H199" s="88"/>
      <c r="I199" s="86"/>
      <c r="L199" s="87">
        <f t="shared" si="22"/>
        <v>7</v>
      </c>
      <c r="M199" s="88">
        <f t="shared" si="19"/>
        <v>0</v>
      </c>
      <c r="N199" s="86"/>
      <c r="O199" s="89"/>
      <c r="R199" s="87">
        <f t="shared" si="23"/>
        <v>7</v>
      </c>
      <c r="S199" s="88">
        <f t="shared" si="20"/>
        <v>0</v>
      </c>
      <c r="T199" s="86"/>
    </row>
    <row r="200" spans="2:20" ht="27" x14ac:dyDescent="0.25">
      <c r="B200" s="87">
        <f t="shared" si="21"/>
        <v>8</v>
      </c>
      <c r="C200" s="88" t="str">
        <f t="shared" si="18"/>
        <v>CARREGAMENTO</v>
      </c>
      <c r="D200" s="86"/>
      <c r="G200" s="87"/>
      <c r="H200" s="88"/>
      <c r="I200" s="86"/>
      <c r="L200" s="87">
        <f t="shared" si="22"/>
        <v>8</v>
      </c>
      <c r="M200" s="88">
        <f t="shared" si="19"/>
        <v>0</v>
      </c>
      <c r="N200" s="86"/>
      <c r="O200" s="89"/>
      <c r="R200" s="87">
        <f t="shared" si="23"/>
        <v>8</v>
      </c>
      <c r="S200" s="88">
        <f t="shared" si="20"/>
        <v>0</v>
      </c>
      <c r="T200" s="86"/>
    </row>
    <row r="201" spans="2:20" ht="27" x14ac:dyDescent="0.25">
      <c r="B201" s="87"/>
      <c r="C201" s="88"/>
      <c r="D201" s="82"/>
      <c r="G201" s="87"/>
      <c r="H201" s="88"/>
      <c r="I201" s="82"/>
      <c r="L201" s="87">
        <f t="shared" si="22"/>
        <v>9</v>
      </c>
      <c r="M201" s="88">
        <f t="shared" si="19"/>
        <v>0</v>
      </c>
      <c r="N201" s="82"/>
      <c r="O201" s="89"/>
      <c r="R201" s="87">
        <f t="shared" si="23"/>
        <v>9</v>
      </c>
      <c r="S201" s="88">
        <f t="shared" si="20"/>
        <v>0</v>
      </c>
      <c r="T201" s="82"/>
    </row>
    <row r="202" spans="2:20" s="89" customFormat="1" ht="27" x14ac:dyDescent="0.25">
      <c r="B202" s="87"/>
      <c r="C202" s="88"/>
      <c r="D202" s="82"/>
      <c r="G202" s="87"/>
      <c r="H202" s="88"/>
      <c r="I202" s="82"/>
      <c r="L202" s="87">
        <f t="shared" si="22"/>
        <v>10</v>
      </c>
      <c r="M202" s="88">
        <f t="shared" si="19"/>
        <v>0</v>
      </c>
      <c r="N202" s="82"/>
      <c r="R202" s="87">
        <f t="shared" si="23"/>
        <v>10</v>
      </c>
      <c r="S202" s="88">
        <f t="shared" si="20"/>
        <v>0</v>
      </c>
      <c r="T202" s="82"/>
    </row>
    <row r="203" spans="2:20" s="89" customFormat="1" ht="15.75" customHeight="1" x14ac:dyDescent="0.25">
      <c r="B203" s="87"/>
      <c r="C203" s="88"/>
      <c r="D203" s="92"/>
      <c r="G203" s="87"/>
      <c r="H203" s="88"/>
      <c r="I203" s="92"/>
      <c r="L203" s="87">
        <f t="shared" si="22"/>
        <v>11</v>
      </c>
      <c r="M203" s="88">
        <f t="shared" si="19"/>
        <v>0</v>
      </c>
      <c r="N203" s="92"/>
      <c r="R203" s="87">
        <f t="shared" si="23"/>
        <v>11</v>
      </c>
      <c r="S203" s="88">
        <f t="shared" si="20"/>
        <v>0</v>
      </c>
      <c r="T203" s="92"/>
    </row>
    <row r="204" spans="2:20" x14ac:dyDescent="0.25">
      <c r="B204" s="89"/>
      <c r="C204" s="89"/>
      <c r="D204" s="89"/>
      <c r="G204" s="89"/>
      <c r="H204" s="89"/>
      <c r="I204" s="89"/>
      <c r="M204" s="89"/>
      <c r="N204" s="89"/>
      <c r="O204" s="89"/>
      <c r="R204" s="89"/>
      <c r="S204" s="89"/>
      <c r="T204" s="89"/>
    </row>
    <row r="205" spans="2:20" ht="15.75" customHeight="1" x14ac:dyDescent="0.25">
      <c r="B205" s="89"/>
      <c r="C205" s="89"/>
      <c r="D205" s="89"/>
      <c r="G205" s="89"/>
      <c r="H205" s="89"/>
      <c r="I205" s="89"/>
      <c r="M205" s="89"/>
      <c r="N205" s="89"/>
      <c r="O205" s="89"/>
      <c r="R205" s="89"/>
      <c r="S205" s="89"/>
      <c r="T205" s="89"/>
    </row>
    <row r="206" spans="2:20" ht="19.5" customHeight="1" x14ac:dyDescent="0.25">
      <c r="B206" s="131" t="s">
        <v>834</v>
      </c>
      <c r="C206" s="132"/>
      <c r="D206" s="133"/>
      <c r="G206" s="131" t="s">
        <v>834</v>
      </c>
      <c r="H206" s="132"/>
      <c r="I206" s="133"/>
      <c r="L206" s="131" t="s">
        <v>834</v>
      </c>
      <c r="M206" s="132"/>
      <c r="N206" s="133"/>
      <c r="O206" s="89"/>
      <c r="R206" s="131" t="s">
        <v>834</v>
      </c>
      <c r="S206" s="132"/>
      <c r="T206" s="133"/>
    </row>
    <row r="207" spans="2:20" x14ac:dyDescent="0.25">
      <c r="B207" s="112" t="s">
        <v>903</v>
      </c>
      <c r="C207" s="103" t="s">
        <v>474</v>
      </c>
      <c r="D207" s="124" t="s">
        <v>871</v>
      </c>
      <c r="G207" s="112" t="s">
        <v>849</v>
      </c>
      <c r="H207" s="103" t="s">
        <v>521</v>
      </c>
      <c r="I207" s="126" t="s">
        <v>868</v>
      </c>
      <c r="L207" s="55"/>
      <c r="M207" s="56"/>
      <c r="N207" s="57"/>
      <c r="O207" s="89"/>
      <c r="R207" s="55"/>
      <c r="S207" s="56"/>
      <c r="T207" s="57"/>
    </row>
    <row r="208" spans="2:20" x14ac:dyDescent="0.25">
      <c r="B208" s="116"/>
      <c r="C208" s="97"/>
      <c r="D208" s="97"/>
      <c r="G208" s="116"/>
      <c r="H208" s="97"/>
      <c r="I208" s="97"/>
      <c r="L208" s="59"/>
      <c r="M208" s="60"/>
      <c r="N208" s="61"/>
      <c r="O208" s="89"/>
      <c r="R208" s="59"/>
      <c r="S208" s="60"/>
      <c r="T208" s="61"/>
    </row>
    <row r="209" spans="2:20" x14ac:dyDescent="0.25">
      <c r="B209" s="95">
        <v>45698</v>
      </c>
      <c r="C209" s="100" t="s">
        <v>904</v>
      </c>
      <c r="D209" s="94">
        <v>0.33333333333333331</v>
      </c>
      <c r="G209" s="95">
        <v>45698</v>
      </c>
      <c r="H209" s="100" t="s">
        <v>947</v>
      </c>
      <c r="I209" s="94">
        <v>0.375</v>
      </c>
      <c r="L209" s="59"/>
      <c r="M209" s="63"/>
      <c r="N209" s="61"/>
      <c r="O209" s="89"/>
      <c r="R209" s="59"/>
      <c r="S209" s="63"/>
      <c r="T209" s="61"/>
    </row>
    <row r="210" spans="2:20" x14ac:dyDescent="0.25">
      <c r="B210" s="95">
        <v>45698</v>
      </c>
      <c r="C210" s="100" t="s">
        <v>905</v>
      </c>
      <c r="D210" s="94">
        <v>0.4375</v>
      </c>
      <c r="G210" s="95">
        <v>45698</v>
      </c>
      <c r="H210" s="100" t="s">
        <v>948</v>
      </c>
      <c r="I210" s="94">
        <v>0.75</v>
      </c>
      <c r="L210" s="59"/>
      <c r="M210" s="64"/>
      <c r="N210" s="61"/>
      <c r="O210" s="89"/>
      <c r="R210" s="59"/>
      <c r="S210" s="64"/>
      <c r="T210" s="61"/>
    </row>
    <row r="211" spans="2:20" x14ac:dyDescent="0.25">
      <c r="B211" s="95">
        <v>45698</v>
      </c>
      <c r="C211" s="119" t="s">
        <v>835</v>
      </c>
      <c r="D211" s="120" t="s">
        <v>841</v>
      </c>
      <c r="G211" s="96"/>
      <c r="H211" s="100"/>
      <c r="I211" s="94"/>
      <c r="L211" s="59"/>
      <c r="M211" s="65"/>
      <c r="N211" s="61"/>
      <c r="O211" s="89"/>
      <c r="R211" s="59"/>
      <c r="S211" s="65"/>
      <c r="T211" s="61"/>
    </row>
    <row r="212" spans="2:20" x14ac:dyDescent="0.25">
      <c r="B212" s="95">
        <v>45698</v>
      </c>
      <c r="C212" s="100" t="s">
        <v>906</v>
      </c>
      <c r="D212" s="94">
        <v>0.54166666666666663</v>
      </c>
      <c r="G212" s="96"/>
      <c r="H212" s="100"/>
      <c r="I212" s="94"/>
      <c r="L212" s="59"/>
      <c r="M212" s="66"/>
      <c r="N212" s="61"/>
      <c r="O212" s="89"/>
      <c r="R212" s="59"/>
      <c r="S212" s="66"/>
      <c r="T212" s="61"/>
    </row>
    <row r="213" spans="2:20" x14ac:dyDescent="0.25">
      <c r="B213" s="95">
        <v>45698</v>
      </c>
      <c r="C213" s="118" t="s">
        <v>907</v>
      </c>
      <c r="D213" s="94">
        <v>0.6875</v>
      </c>
      <c r="G213" s="96"/>
      <c r="H213" s="98"/>
      <c r="I213" s="94"/>
      <c r="L213" s="59"/>
      <c r="M213" s="65"/>
      <c r="N213" s="61"/>
      <c r="O213" s="89"/>
      <c r="R213" s="59"/>
      <c r="S213" s="65"/>
      <c r="T213" s="61"/>
    </row>
    <row r="214" spans="2:20" x14ac:dyDescent="0.25">
      <c r="B214" s="102">
        <v>45699</v>
      </c>
      <c r="C214" s="100" t="s">
        <v>908</v>
      </c>
      <c r="D214" s="94">
        <v>0.29166666666666669</v>
      </c>
      <c r="G214" s="96"/>
      <c r="H214" s="98"/>
      <c r="I214" s="94"/>
      <c r="L214" s="59"/>
      <c r="M214" s="67"/>
      <c r="N214" s="61"/>
      <c r="O214" s="89"/>
      <c r="R214" s="59"/>
      <c r="S214" s="67"/>
      <c r="T214" s="61"/>
    </row>
    <row r="215" spans="2:20" x14ac:dyDescent="0.25">
      <c r="B215" s="102">
        <v>45699</v>
      </c>
      <c r="C215" s="101" t="s">
        <v>909</v>
      </c>
      <c r="D215" s="94">
        <v>0.39583333333333331</v>
      </c>
      <c r="G215" s="96"/>
      <c r="H215" s="99"/>
      <c r="I215" s="94"/>
      <c r="L215" s="59"/>
      <c r="M215" s="63"/>
      <c r="N215" s="61"/>
      <c r="O215" s="89"/>
      <c r="R215" s="59"/>
      <c r="S215" s="63"/>
      <c r="T215" s="61"/>
    </row>
    <row r="216" spans="2:20" x14ac:dyDescent="0.25">
      <c r="B216" s="105">
        <v>45700</v>
      </c>
      <c r="C216" s="121" t="s">
        <v>836</v>
      </c>
      <c r="D216" s="122" t="s">
        <v>902</v>
      </c>
      <c r="G216" s="96"/>
      <c r="H216" s="99"/>
      <c r="I216" s="94"/>
      <c r="L216" s="59"/>
      <c r="M216" s="65"/>
      <c r="N216" s="61"/>
      <c r="O216" s="89"/>
      <c r="R216" s="59"/>
      <c r="S216" s="65"/>
      <c r="T216" s="61"/>
    </row>
    <row r="217" spans="2:20" x14ac:dyDescent="0.25">
      <c r="B217" s="96"/>
      <c r="C217" s="99"/>
      <c r="D217" s="94"/>
      <c r="G217" s="96"/>
      <c r="H217" s="99"/>
      <c r="I217" s="94"/>
      <c r="L217" s="59"/>
      <c r="M217" s="63"/>
      <c r="N217" s="61"/>
      <c r="O217" s="89"/>
      <c r="R217" s="59"/>
      <c r="S217" s="63"/>
      <c r="T217" s="61"/>
    </row>
    <row r="218" spans="2:20" x14ac:dyDescent="0.25">
      <c r="B218" s="113" t="s">
        <v>381</v>
      </c>
      <c r="C218" s="110"/>
      <c r="D218" s="111" t="str">
        <f>VLOOKUP(C207,'BANCO DE DADOS'!$B$2:$D$260,3,FALSE)</f>
        <v>(34) 9 9234-4734</v>
      </c>
      <c r="G218" s="113" t="s">
        <v>381</v>
      </c>
      <c r="H218" s="110"/>
      <c r="I218" s="111" t="str">
        <f>VLOOKUP(H207,'BANCO DE DADOS'!$B$2:$D$260,3,FALSE)</f>
        <v>(34) 9 9195-8648</v>
      </c>
      <c r="L218" s="59"/>
      <c r="M218" s="63"/>
      <c r="N218" s="68"/>
      <c r="O218" s="89"/>
      <c r="R218" s="59"/>
      <c r="S218" s="63"/>
      <c r="T218" s="68"/>
    </row>
    <row r="219" spans="2:20" x14ac:dyDescent="0.25">
      <c r="B219" s="59"/>
      <c r="C219" s="63"/>
      <c r="D219" s="61"/>
      <c r="G219" s="59"/>
      <c r="H219" s="63"/>
      <c r="I219" s="61"/>
      <c r="L219" s="59"/>
      <c r="M219" s="63"/>
      <c r="N219" s="61"/>
      <c r="O219" s="89"/>
      <c r="R219" s="59"/>
      <c r="S219" s="63"/>
      <c r="T219" s="61"/>
    </row>
    <row r="220" spans="2:20" x14ac:dyDescent="0.25">
      <c r="B220" s="59"/>
      <c r="C220" s="63"/>
      <c r="D220" s="61"/>
      <c r="G220" s="59"/>
      <c r="H220" s="63"/>
      <c r="I220" s="61"/>
      <c r="L220" s="59"/>
      <c r="M220" s="63"/>
      <c r="N220" s="61"/>
      <c r="O220" s="89"/>
      <c r="R220" s="59"/>
      <c r="S220" s="63"/>
      <c r="T220" s="61"/>
    </row>
    <row r="221" spans="2:20" x14ac:dyDescent="0.25">
      <c r="B221" s="59"/>
      <c r="C221" s="66"/>
      <c r="D221" s="61"/>
      <c r="G221" s="59"/>
      <c r="H221" s="66"/>
      <c r="I221" s="61"/>
      <c r="L221" s="59"/>
      <c r="M221" s="66"/>
      <c r="N221" s="61"/>
      <c r="O221" s="89"/>
      <c r="R221" s="59"/>
      <c r="S221" s="66"/>
      <c r="T221" s="61"/>
    </row>
    <row r="222" spans="2:20" x14ac:dyDescent="0.25">
      <c r="B222" s="59"/>
      <c r="C222" s="63"/>
      <c r="D222" s="61"/>
      <c r="G222" s="59"/>
      <c r="H222" s="63"/>
      <c r="I222" s="61"/>
      <c r="L222" s="59"/>
      <c r="M222" s="63"/>
      <c r="N222" s="61"/>
      <c r="O222" s="89"/>
      <c r="R222" s="59"/>
      <c r="S222" s="63"/>
      <c r="T222" s="61"/>
    </row>
    <row r="223" spans="2:20" x14ac:dyDescent="0.25">
      <c r="B223" s="59"/>
      <c r="C223" s="63"/>
      <c r="D223" s="68"/>
      <c r="G223" s="59"/>
      <c r="H223" s="63"/>
      <c r="I223" s="68"/>
      <c r="L223" s="59"/>
      <c r="M223" s="63"/>
      <c r="N223" s="68"/>
      <c r="O223" s="89"/>
      <c r="R223" s="59"/>
      <c r="S223" s="63"/>
      <c r="T223" s="68"/>
    </row>
    <row r="224" spans="2:20" x14ac:dyDescent="0.25">
      <c r="B224" s="59"/>
      <c r="C224" s="63"/>
      <c r="D224" s="68"/>
      <c r="G224" s="59"/>
      <c r="H224" s="63"/>
      <c r="I224" s="68"/>
      <c r="L224" s="59"/>
      <c r="M224" s="63"/>
      <c r="N224" s="68"/>
      <c r="O224" s="89"/>
      <c r="R224" s="59"/>
      <c r="S224" s="63"/>
      <c r="T224" s="68"/>
    </row>
    <row r="225" spans="2:20" x14ac:dyDescent="0.25">
      <c r="B225" s="70"/>
      <c r="C225" s="71"/>
      <c r="D225" s="61"/>
      <c r="G225" s="70"/>
      <c r="H225" s="71"/>
      <c r="I225" s="61"/>
      <c r="L225" s="70"/>
      <c r="M225" s="71"/>
      <c r="N225" s="61"/>
      <c r="O225" s="89"/>
      <c r="R225" s="70"/>
      <c r="S225" s="71"/>
      <c r="T225" s="61"/>
    </row>
    <row r="226" spans="2:20" x14ac:dyDescent="0.25">
      <c r="B226" s="70"/>
      <c r="C226" s="60"/>
      <c r="D226" s="68"/>
      <c r="G226" s="70"/>
      <c r="H226" s="60"/>
      <c r="I226" s="68"/>
      <c r="L226" s="70"/>
      <c r="M226" s="60"/>
      <c r="N226" s="68"/>
      <c r="O226" s="89"/>
      <c r="R226" s="70"/>
      <c r="S226" s="60"/>
      <c r="T226" s="68"/>
    </row>
    <row r="227" spans="2:20" x14ac:dyDescent="0.25">
      <c r="B227" s="70"/>
      <c r="C227" s="38"/>
      <c r="D227" s="68"/>
      <c r="G227" s="70"/>
      <c r="H227" s="38"/>
      <c r="I227" s="68"/>
      <c r="L227" s="70"/>
      <c r="M227" s="38"/>
      <c r="N227" s="68"/>
      <c r="O227" s="89"/>
      <c r="R227" s="70"/>
      <c r="S227" s="38"/>
      <c r="T227" s="68"/>
    </row>
    <row r="228" spans="2:20" s="89" customFormat="1" x14ac:dyDescent="0.25">
      <c r="B228" s="90"/>
      <c r="C228" s="91"/>
      <c r="D228" s="81"/>
      <c r="G228" s="90"/>
      <c r="H228" s="91"/>
      <c r="I228" s="81"/>
      <c r="L228" s="90"/>
      <c r="M228" s="91"/>
      <c r="N228" s="81"/>
      <c r="R228" s="90"/>
      <c r="S228" s="91"/>
      <c r="T228" s="81"/>
    </row>
    <row r="229" spans="2:20" s="89" customFormat="1" x14ac:dyDescent="0.25"/>
    <row r="230" spans="2:20" x14ac:dyDescent="0.25">
      <c r="B230" s="134" t="s">
        <v>968</v>
      </c>
      <c r="C230" s="134"/>
      <c r="D230" s="134"/>
      <c r="G230" s="134" t="s">
        <v>968</v>
      </c>
      <c r="H230" s="134"/>
      <c r="I230" s="134"/>
      <c r="L230" s="134" t="s">
        <v>968</v>
      </c>
      <c r="M230" s="134"/>
      <c r="N230" s="134"/>
      <c r="O230" s="89"/>
      <c r="R230" s="134" t="s">
        <v>968</v>
      </c>
      <c r="S230" s="134"/>
      <c r="T230" s="134"/>
    </row>
    <row r="231" spans="2:20" ht="15" customHeight="1" x14ac:dyDescent="0.25">
      <c r="B231" s="134"/>
      <c r="C231" s="134"/>
      <c r="D231" s="134"/>
      <c r="G231" s="134"/>
      <c r="H231" s="134"/>
      <c r="I231" s="134"/>
      <c r="L231" s="134"/>
      <c r="M231" s="134"/>
      <c r="N231" s="134"/>
      <c r="O231" s="89"/>
      <c r="R231" s="134"/>
      <c r="S231" s="134"/>
      <c r="T231" s="134"/>
    </row>
    <row r="232" spans="2:20" ht="15" customHeight="1" x14ac:dyDescent="0.25">
      <c r="B232" s="134"/>
      <c r="C232" s="134"/>
      <c r="D232" s="134"/>
      <c r="G232" s="134"/>
      <c r="H232" s="134"/>
      <c r="I232" s="134"/>
      <c r="L232" s="134"/>
      <c r="M232" s="134"/>
      <c r="N232" s="134"/>
      <c r="O232" s="89"/>
      <c r="R232" s="134"/>
      <c r="S232" s="134"/>
      <c r="T232" s="134"/>
    </row>
    <row r="233" spans="2:20" ht="15" customHeight="1" x14ac:dyDescent="0.25">
      <c r="B233" s="134"/>
      <c r="C233" s="134"/>
      <c r="D233" s="134"/>
      <c r="G233" s="134"/>
      <c r="H233" s="134"/>
      <c r="I233" s="134"/>
      <c r="L233" s="134"/>
      <c r="M233" s="134"/>
      <c r="N233" s="134"/>
      <c r="O233" s="89"/>
      <c r="R233" s="134"/>
      <c r="S233" s="134"/>
      <c r="T233" s="134"/>
    </row>
    <row r="234" spans="2:20" ht="15" customHeight="1" x14ac:dyDescent="0.25">
      <c r="B234" s="134"/>
      <c r="C234" s="134"/>
      <c r="D234" s="134"/>
      <c r="G234" s="134"/>
      <c r="H234" s="134"/>
      <c r="I234" s="134"/>
      <c r="L234" s="134"/>
      <c r="M234" s="134"/>
      <c r="N234" s="134"/>
      <c r="O234" s="89"/>
      <c r="R234" s="134"/>
      <c r="S234" s="134"/>
      <c r="T234" s="134"/>
    </row>
    <row r="235" spans="2:20" ht="40.5" customHeight="1" x14ac:dyDescent="0.25">
      <c r="B235" s="134"/>
      <c r="C235" s="134"/>
      <c r="D235" s="134"/>
      <c r="G235" s="134"/>
      <c r="H235" s="134"/>
      <c r="I235" s="134"/>
      <c r="L235" s="134"/>
      <c r="M235" s="134"/>
      <c r="N235" s="134"/>
      <c r="O235" s="89"/>
      <c r="R235" s="134"/>
      <c r="S235" s="134"/>
      <c r="T235" s="134"/>
    </row>
    <row r="236" spans="2:20" ht="15" customHeight="1" x14ac:dyDescent="0.25">
      <c r="B236" s="85"/>
      <c r="C236" s="84"/>
      <c r="D236" s="83"/>
      <c r="G236" s="85"/>
      <c r="H236" s="84"/>
      <c r="I236" s="83"/>
      <c r="L236" s="85"/>
      <c r="M236" s="84"/>
      <c r="N236" s="83"/>
      <c r="O236" s="89"/>
      <c r="R236" s="85"/>
      <c r="S236" s="84"/>
      <c r="T236" s="83"/>
    </row>
    <row r="237" spans="2:20" ht="27" x14ac:dyDescent="0.25">
      <c r="B237" s="87">
        <v>1</v>
      </c>
      <c r="C237" s="88" t="str">
        <f t="shared" ref="C237:C243" si="24">C253</f>
        <v>ATALEIA - 230</v>
      </c>
      <c r="D237" s="86"/>
      <c r="G237" s="87">
        <v>1</v>
      </c>
      <c r="H237" s="88" t="str">
        <f t="shared" ref="H237:H242" si="25">H253</f>
        <v>POCOES - 459</v>
      </c>
      <c r="I237" s="86"/>
      <c r="L237" s="87">
        <v>1</v>
      </c>
      <c r="M237" s="88">
        <f t="shared" ref="M237:M247" si="26">M253</f>
        <v>0</v>
      </c>
      <c r="N237" s="86"/>
      <c r="O237" s="89"/>
      <c r="R237" s="87">
        <v>1</v>
      </c>
      <c r="S237" s="88">
        <f t="shared" ref="S237:S247" si="27">S253</f>
        <v>0</v>
      </c>
      <c r="T237" s="86"/>
    </row>
    <row r="238" spans="2:20" ht="27" x14ac:dyDescent="0.25">
      <c r="B238" s="87">
        <f t="shared" ref="B238:B243" si="28">B237+1</f>
        <v>2</v>
      </c>
      <c r="C238" s="88" t="str">
        <f t="shared" si="24"/>
        <v>CARLOS CHAGAS - 191</v>
      </c>
      <c r="D238" s="86"/>
      <c r="G238" s="87">
        <f>G237+1</f>
        <v>2</v>
      </c>
      <c r="H238" s="88" t="str">
        <f t="shared" si="25"/>
        <v>ALMOÇO</v>
      </c>
      <c r="I238" s="86"/>
      <c r="L238" s="87">
        <f t="shared" ref="L238:L247" si="29">L237+1</f>
        <v>2</v>
      </c>
      <c r="M238" s="88">
        <f t="shared" si="26"/>
        <v>0</v>
      </c>
      <c r="N238" s="86"/>
      <c r="O238" s="89"/>
      <c r="R238" s="87">
        <f t="shared" ref="R238:R247" si="30">R237+1</f>
        <v>2</v>
      </c>
      <c r="S238" s="88">
        <f t="shared" si="27"/>
        <v>0</v>
      </c>
      <c r="T238" s="86"/>
    </row>
    <row r="239" spans="2:20" ht="27" x14ac:dyDescent="0.25">
      <c r="B239" s="87">
        <f t="shared" si="28"/>
        <v>3</v>
      </c>
      <c r="C239" s="88" t="str">
        <f t="shared" si="24"/>
        <v>ALMOÇO</v>
      </c>
      <c r="D239" s="86"/>
      <c r="G239" s="87">
        <f>G238+1</f>
        <v>3</v>
      </c>
      <c r="H239" s="88" t="str">
        <f t="shared" si="25"/>
        <v>JEQUIE - 507</v>
      </c>
      <c r="I239" s="86"/>
      <c r="L239" s="87">
        <f t="shared" si="29"/>
        <v>3</v>
      </c>
      <c r="M239" s="88">
        <f t="shared" si="26"/>
        <v>0</v>
      </c>
      <c r="N239" s="86"/>
      <c r="O239" s="89"/>
      <c r="R239" s="87">
        <f t="shared" si="30"/>
        <v>3</v>
      </c>
      <c r="S239" s="88">
        <f t="shared" si="27"/>
        <v>0</v>
      </c>
      <c r="T239" s="86"/>
    </row>
    <row r="240" spans="2:20" ht="27" x14ac:dyDescent="0.25">
      <c r="B240" s="87">
        <f t="shared" si="28"/>
        <v>4</v>
      </c>
      <c r="C240" s="88" t="str">
        <f t="shared" si="24"/>
        <v>NANUQUE - 142</v>
      </c>
      <c r="D240" s="86"/>
      <c r="G240" s="87">
        <f>G239+1</f>
        <v>4</v>
      </c>
      <c r="H240" s="88" t="str">
        <f t="shared" si="25"/>
        <v>IPIAU - 528</v>
      </c>
      <c r="I240" s="86"/>
      <c r="L240" s="87">
        <f t="shared" si="29"/>
        <v>4</v>
      </c>
      <c r="M240" s="88">
        <f t="shared" si="26"/>
        <v>0</v>
      </c>
      <c r="N240" s="86"/>
      <c r="O240" s="89"/>
      <c r="R240" s="87">
        <f t="shared" si="30"/>
        <v>4</v>
      </c>
      <c r="S240" s="88">
        <f t="shared" si="27"/>
        <v>0</v>
      </c>
      <c r="T240" s="86"/>
    </row>
    <row r="241" spans="2:20" ht="27" x14ac:dyDescent="0.25">
      <c r="B241" s="87">
        <f t="shared" si="28"/>
        <v>5</v>
      </c>
      <c r="C241" s="88" t="str">
        <f t="shared" si="24"/>
        <v>POSTO DA MATA - 518</v>
      </c>
      <c r="D241" s="86"/>
      <c r="G241" s="87">
        <f>G240+1</f>
        <v>5</v>
      </c>
      <c r="H241" s="88" t="str">
        <f t="shared" si="25"/>
        <v>JAGUAQUARA - 482</v>
      </c>
      <c r="I241" s="86"/>
      <c r="L241" s="87">
        <f t="shared" si="29"/>
        <v>5</v>
      </c>
      <c r="M241" s="88">
        <f t="shared" si="26"/>
        <v>0</v>
      </c>
      <c r="N241" s="86"/>
      <c r="O241" s="89"/>
      <c r="R241" s="87">
        <f t="shared" si="30"/>
        <v>5</v>
      </c>
      <c r="S241" s="88">
        <f t="shared" si="27"/>
        <v>0</v>
      </c>
      <c r="T241" s="86"/>
    </row>
    <row r="242" spans="2:20" ht="27" x14ac:dyDescent="0.25">
      <c r="B242" s="87">
        <f t="shared" si="28"/>
        <v>6</v>
      </c>
      <c r="C242" s="88" t="str">
        <f t="shared" si="24"/>
        <v>MUCURI - 521</v>
      </c>
      <c r="D242" s="86"/>
      <c r="G242" s="87">
        <f>G241+1</f>
        <v>6</v>
      </c>
      <c r="H242" s="88" t="str">
        <f t="shared" si="25"/>
        <v>CARREGAMENTO</v>
      </c>
      <c r="I242" s="86"/>
      <c r="L242" s="87">
        <f t="shared" si="29"/>
        <v>6</v>
      </c>
      <c r="M242" s="88">
        <f t="shared" si="26"/>
        <v>0</v>
      </c>
      <c r="N242" s="86"/>
      <c r="O242" s="89"/>
      <c r="R242" s="87">
        <f t="shared" si="30"/>
        <v>6</v>
      </c>
      <c r="S242" s="88">
        <f t="shared" si="27"/>
        <v>0</v>
      </c>
      <c r="T242" s="86"/>
    </row>
    <row r="243" spans="2:20" ht="27" x14ac:dyDescent="0.25">
      <c r="B243" s="87">
        <f t="shared" si="28"/>
        <v>7</v>
      </c>
      <c r="C243" s="88" t="str">
        <f t="shared" si="24"/>
        <v>TEIXEIRA DE FREITAS - 523</v>
      </c>
      <c r="D243" s="86"/>
      <c r="G243" s="87"/>
      <c r="H243" s="88"/>
      <c r="I243" s="86"/>
      <c r="L243" s="87">
        <f t="shared" si="29"/>
        <v>7</v>
      </c>
      <c r="M243" s="88">
        <f t="shared" si="26"/>
        <v>0</v>
      </c>
      <c r="N243" s="86"/>
      <c r="O243" s="89"/>
      <c r="R243" s="87">
        <f t="shared" si="30"/>
        <v>7</v>
      </c>
      <c r="S243" s="88">
        <f t="shared" si="27"/>
        <v>0</v>
      </c>
      <c r="T243" s="86"/>
    </row>
    <row r="244" spans="2:20" ht="27" x14ac:dyDescent="0.25">
      <c r="B244" s="87"/>
      <c r="C244" s="88"/>
      <c r="D244" s="86"/>
      <c r="G244" s="87"/>
      <c r="H244" s="88"/>
      <c r="I244" s="86"/>
      <c r="L244" s="87">
        <f t="shared" si="29"/>
        <v>8</v>
      </c>
      <c r="M244" s="88">
        <f t="shared" si="26"/>
        <v>0</v>
      </c>
      <c r="N244" s="86"/>
      <c r="O244" s="89"/>
      <c r="R244" s="87">
        <f t="shared" si="30"/>
        <v>8</v>
      </c>
      <c r="S244" s="88">
        <f t="shared" si="27"/>
        <v>0</v>
      </c>
      <c r="T244" s="86"/>
    </row>
    <row r="245" spans="2:20" ht="27" x14ac:dyDescent="0.25">
      <c r="B245" s="87"/>
      <c r="C245" s="88"/>
      <c r="D245" s="82"/>
      <c r="G245" s="87"/>
      <c r="H245" s="88"/>
      <c r="I245" s="82"/>
      <c r="L245" s="87">
        <f t="shared" si="29"/>
        <v>9</v>
      </c>
      <c r="M245" s="88">
        <f t="shared" si="26"/>
        <v>0</v>
      </c>
      <c r="N245" s="82"/>
      <c r="O245" s="89"/>
      <c r="R245" s="87">
        <f t="shared" si="30"/>
        <v>9</v>
      </c>
      <c r="S245" s="88">
        <f t="shared" si="27"/>
        <v>0</v>
      </c>
      <c r="T245" s="82"/>
    </row>
    <row r="246" spans="2:20" ht="27" x14ac:dyDescent="0.25">
      <c r="B246" s="87"/>
      <c r="C246" s="88"/>
      <c r="D246" s="82"/>
      <c r="G246" s="87"/>
      <c r="H246" s="88"/>
      <c r="I246" s="82"/>
      <c r="L246" s="87">
        <f t="shared" si="29"/>
        <v>10</v>
      </c>
      <c r="M246" s="88">
        <f t="shared" si="26"/>
        <v>0</v>
      </c>
      <c r="N246" s="82"/>
      <c r="O246" s="89"/>
      <c r="R246" s="87">
        <f t="shared" si="30"/>
        <v>10</v>
      </c>
      <c r="S246" s="88">
        <f t="shared" si="27"/>
        <v>0</v>
      </c>
      <c r="T246" s="82"/>
    </row>
    <row r="247" spans="2:20" s="89" customFormat="1" ht="27" x14ac:dyDescent="0.25">
      <c r="B247" s="87"/>
      <c r="C247" s="88"/>
      <c r="D247" s="92"/>
      <c r="G247" s="87"/>
      <c r="H247" s="88"/>
      <c r="I247" s="92"/>
      <c r="L247" s="87">
        <f t="shared" si="29"/>
        <v>11</v>
      </c>
      <c r="M247" s="88">
        <f t="shared" si="26"/>
        <v>0</v>
      </c>
      <c r="N247" s="92"/>
      <c r="R247" s="87">
        <f t="shared" si="30"/>
        <v>11</v>
      </c>
      <c r="S247" s="88">
        <f t="shared" si="27"/>
        <v>0</v>
      </c>
      <c r="T247" s="92"/>
    </row>
    <row r="248" spans="2:20" s="89" customFormat="1" ht="15.75" customHeight="1" x14ac:dyDescent="0.25"/>
    <row r="249" spans="2:20" ht="15.75" customHeight="1" x14ac:dyDescent="0.25">
      <c r="B249" s="89"/>
      <c r="C249" s="89"/>
      <c r="D249" s="89"/>
      <c r="G249" s="89"/>
      <c r="H249" s="89"/>
      <c r="I249" s="89"/>
      <c r="M249" s="89"/>
      <c r="N249" s="89"/>
      <c r="O249" s="89"/>
      <c r="R249" s="89"/>
      <c r="S249" s="89"/>
      <c r="T249" s="89"/>
    </row>
    <row r="250" spans="2:20" ht="19.5" customHeight="1" x14ac:dyDescent="0.25">
      <c r="B250" s="131" t="s">
        <v>834</v>
      </c>
      <c r="C250" s="132"/>
      <c r="D250" s="133"/>
      <c r="G250" s="131" t="s">
        <v>834</v>
      </c>
      <c r="H250" s="132"/>
      <c r="I250" s="133"/>
      <c r="L250" s="131" t="s">
        <v>834</v>
      </c>
      <c r="M250" s="132"/>
      <c r="N250" s="133"/>
      <c r="O250" s="89"/>
      <c r="R250" s="131" t="s">
        <v>834</v>
      </c>
      <c r="S250" s="132"/>
      <c r="T250" s="133"/>
    </row>
    <row r="251" spans="2:20" x14ac:dyDescent="0.25">
      <c r="B251" s="112" t="s">
        <v>910</v>
      </c>
      <c r="C251" s="103" t="s">
        <v>818</v>
      </c>
      <c r="D251" s="114" t="s">
        <v>378</v>
      </c>
      <c r="G251" s="112" t="s">
        <v>851</v>
      </c>
      <c r="H251" s="103" t="s">
        <v>680</v>
      </c>
      <c r="I251" s="114" t="s">
        <v>953</v>
      </c>
      <c r="L251" s="55"/>
      <c r="M251" s="56"/>
      <c r="N251" s="57"/>
      <c r="O251" s="89"/>
      <c r="R251" s="55"/>
      <c r="S251" s="56"/>
      <c r="T251" s="57"/>
    </row>
    <row r="252" spans="2:20" x14ac:dyDescent="0.25">
      <c r="B252" s="116"/>
      <c r="C252" s="97"/>
      <c r="D252" s="97"/>
      <c r="G252" s="116"/>
      <c r="H252" s="97"/>
      <c r="I252" s="97"/>
      <c r="L252" s="59"/>
      <c r="M252" s="60"/>
      <c r="N252" s="61"/>
      <c r="O252" s="89"/>
      <c r="R252" s="59"/>
      <c r="S252" s="60"/>
      <c r="T252" s="61"/>
    </row>
    <row r="253" spans="2:20" x14ac:dyDescent="0.25">
      <c r="B253" s="95">
        <v>45698</v>
      </c>
      <c r="C253" s="100" t="s">
        <v>911</v>
      </c>
      <c r="D253" s="94">
        <v>0.33333333333333331</v>
      </c>
      <c r="G253" s="95">
        <v>45698</v>
      </c>
      <c r="H253" s="100" t="s">
        <v>949</v>
      </c>
      <c r="I253" s="94">
        <v>0.33333333333333331</v>
      </c>
      <c r="L253" s="59"/>
      <c r="M253" s="63"/>
      <c r="N253" s="61"/>
      <c r="O253" s="89"/>
      <c r="R253" s="59"/>
      <c r="S253" s="63"/>
      <c r="T253" s="61"/>
    </row>
    <row r="254" spans="2:20" x14ac:dyDescent="0.25">
      <c r="B254" s="95">
        <v>45698</v>
      </c>
      <c r="C254" s="100" t="s">
        <v>912</v>
      </c>
      <c r="D254" s="94">
        <v>0.4375</v>
      </c>
      <c r="G254" s="95">
        <v>45698</v>
      </c>
      <c r="H254" s="119" t="s">
        <v>835</v>
      </c>
      <c r="I254" s="120" t="s">
        <v>845</v>
      </c>
      <c r="L254" s="59"/>
      <c r="M254" s="64"/>
      <c r="N254" s="61"/>
      <c r="O254" s="89"/>
      <c r="R254" s="59"/>
      <c r="S254" s="64"/>
      <c r="T254" s="61"/>
    </row>
    <row r="255" spans="2:20" x14ac:dyDescent="0.25">
      <c r="B255" s="95">
        <v>45698</v>
      </c>
      <c r="C255" s="119" t="s">
        <v>835</v>
      </c>
      <c r="D255" s="120" t="s">
        <v>841</v>
      </c>
      <c r="G255" s="95">
        <v>45698</v>
      </c>
      <c r="H255" s="100" t="s">
        <v>950</v>
      </c>
      <c r="I255" s="94">
        <v>0.52083333333333337</v>
      </c>
      <c r="L255" s="59"/>
      <c r="M255" s="65"/>
      <c r="N255" s="61"/>
      <c r="O255" s="89"/>
      <c r="R255" s="59"/>
      <c r="S255" s="65"/>
      <c r="T255" s="61"/>
    </row>
    <row r="256" spans="2:20" x14ac:dyDescent="0.25">
      <c r="B256" s="95">
        <v>45698</v>
      </c>
      <c r="C256" s="100" t="s">
        <v>913</v>
      </c>
      <c r="D256" s="94">
        <v>0.54166666666666663</v>
      </c>
      <c r="G256" s="95">
        <v>45698</v>
      </c>
      <c r="H256" s="100" t="s">
        <v>951</v>
      </c>
      <c r="I256" s="94">
        <v>0.64583333333333337</v>
      </c>
      <c r="L256" s="59"/>
      <c r="M256" s="66"/>
      <c r="N256" s="61"/>
      <c r="O256" s="89"/>
      <c r="R256" s="59"/>
      <c r="S256" s="66"/>
      <c r="T256" s="61"/>
    </row>
    <row r="257" spans="2:20" x14ac:dyDescent="0.25">
      <c r="B257" s="95">
        <v>45698</v>
      </c>
      <c r="C257" s="100" t="s">
        <v>914</v>
      </c>
      <c r="D257" s="94">
        <v>0.70833333333333337</v>
      </c>
      <c r="G257" s="102">
        <v>45699</v>
      </c>
      <c r="H257" s="100" t="s">
        <v>952</v>
      </c>
      <c r="I257" s="94">
        <v>0.33333333333333331</v>
      </c>
      <c r="L257" s="59"/>
      <c r="M257" s="65"/>
      <c r="N257" s="61"/>
      <c r="O257" s="89"/>
      <c r="R257" s="59"/>
      <c r="S257" s="65"/>
      <c r="T257" s="61"/>
    </row>
    <row r="258" spans="2:20" x14ac:dyDescent="0.25">
      <c r="B258" s="102">
        <v>45699</v>
      </c>
      <c r="C258" s="100" t="s">
        <v>915</v>
      </c>
      <c r="D258" s="94">
        <v>0.33333333333333331</v>
      </c>
      <c r="G258" s="105">
        <v>45700</v>
      </c>
      <c r="H258" s="121" t="s">
        <v>836</v>
      </c>
      <c r="I258" s="122" t="s">
        <v>902</v>
      </c>
      <c r="L258" s="59"/>
      <c r="M258" s="67"/>
      <c r="N258" s="61"/>
      <c r="O258" s="89"/>
      <c r="R258" s="59"/>
      <c r="S258" s="67"/>
      <c r="T258" s="61"/>
    </row>
    <row r="259" spans="2:20" x14ac:dyDescent="0.25">
      <c r="B259" s="102">
        <v>45699</v>
      </c>
      <c r="C259" s="100" t="s">
        <v>916</v>
      </c>
      <c r="D259" s="94">
        <v>0.4375</v>
      </c>
      <c r="G259" s="96"/>
      <c r="H259" s="99"/>
      <c r="I259" s="94"/>
      <c r="L259" s="59"/>
      <c r="M259" s="63"/>
      <c r="N259" s="61"/>
      <c r="O259" s="89"/>
      <c r="R259" s="59"/>
      <c r="S259" s="63"/>
      <c r="T259" s="61"/>
    </row>
    <row r="260" spans="2:20" x14ac:dyDescent="0.25">
      <c r="B260" s="96"/>
      <c r="C260" s="99"/>
      <c r="D260" s="94"/>
      <c r="G260" s="96"/>
      <c r="H260" s="99"/>
      <c r="I260" s="94"/>
      <c r="L260" s="59"/>
      <c r="M260" s="65"/>
      <c r="N260" s="61"/>
      <c r="O260" s="89"/>
      <c r="R260" s="59"/>
      <c r="S260" s="65"/>
      <c r="T260" s="61"/>
    </row>
    <row r="261" spans="2:20" x14ac:dyDescent="0.25">
      <c r="B261" s="96"/>
      <c r="C261" s="99"/>
      <c r="D261" s="94"/>
      <c r="G261" s="96"/>
      <c r="H261" s="99"/>
      <c r="I261" s="94"/>
      <c r="L261" s="59"/>
      <c r="M261" s="63"/>
      <c r="N261" s="61"/>
      <c r="O261" s="89"/>
      <c r="R261" s="59"/>
      <c r="S261" s="63"/>
      <c r="T261" s="61"/>
    </row>
    <row r="262" spans="2:20" x14ac:dyDescent="0.25">
      <c r="B262" s="113" t="s">
        <v>381</v>
      </c>
      <c r="C262" s="110"/>
      <c r="D262" s="111" t="str">
        <f>VLOOKUP(C251,'BANCO DE DADOS'!$B$2:$D$260,3,FALSE)</f>
        <v>(34) 9 9955-6008</v>
      </c>
      <c r="G262" s="113" t="s">
        <v>381</v>
      </c>
      <c r="H262" s="110"/>
      <c r="I262" s="111" t="str">
        <f>VLOOKUP(H251,'BANCO DE DADOS'!$B$2:$D$260,3,FALSE)</f>
        <v>(34) 9 9728-8287</v>
      </c>
      <c r="L262" s="59"/>
      <c r="M262" s="63"/>
      <c r="N262" s="68"/>
      <c r="O262" s="89"/>
      <c r="R262" s="59"/>
      <c r="S262" s="63"/>
      <c r="T262" s="68"/>
    </row>
    <row r="263" spans="2:20" x14ac:dyDescent="0.25">
      <c r="B263" s="59"/>
      <c r="C263" s="63"/>
      <c r="D263" s="61"/>
      <c r="G263" s="59"/>
      <c r="H263" s="63"/>
      <c r="I263" s="61"/>
      <c r="L263" s="59"/>
      <c r="M263" s="63"/>
      <c r="N263" s="61"/>
      <c r="O263" s="89"/>
      <c r="R263" s="59"/>
      <c r="S263" s="63"/>
      <c r="T263" s="61"/>
    </row>
    <row r="264" spans="2:20" x14ac:dyDescent="0.25">
      <c r="B264" s="59"/>
      <c r="C264" s="63"/>
      <c r="D264" s="61"/>
      <c r="G264" s="59"/>
      <c r="H264" s="63"/>
      <c r="I264" s="61"/>
      <c r="L264" s="59"/>
      <c r="M264" s="63"/>
      <c r="N264" s="61"/>
      <c r="O264" s="89"/>
      <c r="R264" s="59"/>
      <c r="S264" s="63"/>
      <c r="T264" s="61"/>
    </row>
    <row r="265" spans="2:20" x14ac:dyDescent="0.25">
      <c r="B265" s="59"/>
      <c r="C265" s="66"/>
      <c r="D265" s="61"/>
      <c r="G265" s="59"/>
      <c r="H265" s="66"/>
      <c r="I265" s="61"/>
      <c r="L265" s="59"/>
      <c r="M265" s="66"/>
      <c r="N265" s="61"/>
      <c r="O265" s="89"/>
      <c r="R265" s="59"/>
      <c r="S265" s="66"/>
      <c r="T265" s="61"/>
    </row>
    <row r="266" spans="2:20" x14ac:dyDescent="0.25">
      <c r="B266" s="59"/>
      <c r="C266" s="63"/>
      <c r="D266" s="61"/>
      <c r="G266" s="59"/>
      <c r="H266" s="63"/>
      <c r="I266" s="61"/>
      <c r="L266" s="59"/>
      <c r="M266" s="63"/>
      <c r="N266" s="61"/>
      <c r="O266" s="89"/>
      <c r="R266" s="59"/>
      <c r="S266" s="63"/>
      <c r="T266" s="61"/>
    </row>
    <row r="267" spans="2:20" x14ac:dyDescent="0.25">
      <c r="B267" s="59"/>
      <c r="C267" s="63"/>
      <c r="D267" s="68"/>
      <c r="G267" s="59"/>
      <c r="H267" s="63"/>
      <c r="I267" s="68"/>
      <c r="L267" s="59"/>
      <c r="M267" s="63"/>
      <c r="N267" s="68"/>
      <c r="O267" s="89"/>
      <c r="R267" s="59"/>
      <c r="S267" s="63"/>
      <c r="T267" s="68"/>
    </row>
    <row r="268" spans="2:20" x14ac:dyDescent="0.25">
      <c r="B268" s="59"/>
      <c r="C268" s="63"/>
      <c r="D268" s="68"/>
      <c r="G268" s="59"/>
      <c r="H268" s="63"/>
      <c r="I268" s="68"/>
      <c r="L268" s="59"/>
      <c r="M268" s="63"/>
      <c r="N268" s="68"/>
      <c r="O268" s="89"/>
      <c r="R268" s="59"/>
      <c r="S268" s="63"/>
      <c r="T268" s="68"/>
    </row>
    <row r="269" spans="2:20" x14ac:dyDescent="0.25">
      <c r="B269" s="70"/>
      <c r="C269" s="71"/>
      <c r="D269" s="61"/>
      <c r="G269" s="70"/>
      <c r="H269" s="71"/>
      <c r="I269" s="61"/>
      <c r="L269" s="70"/>
      <c r="M269" s="71"/>
      <c r="N269" s="61"/>
      <c r="O269" s="89"/>
      <c r="R269" s="70"/>
      <c r="S269" s="71"/>
      <c r="T269" s="61"/>
    </row>
    <row r="270" spans="2:20" x14ac:dyDescent="0.25">
      <c r="B270" s="70"/>
      <c r="C270" s="60"/>
      <c r="D270" s="68"/>
      <c r="G270" s="70"/>
      <c r="H270" s="60"/>
      <c r="I270" s="68"/>
      <c r="L270" s="70"/>
      <c r="M270" s="60"/>
      <c r="N270" s="68"/>
      <c r="O270" s="89"/>
      <c r="R270" s="70"/>
      <c r="S270" s="60"/>
      <c r="T270" s="68"/>
    </row>
    <row r="271" spans="2:20" x14ac:dyDescent="0.25">
      <c r="B271" s="70"/>
      <c r="C271" s="38"/>
      <c r="D271" s="68"/>
      <c r="G271" s="70"/>
      <c r="H271" s="38"/>
      <c r="I271" s="68"/>
      <c r="L271" s="70"/>
      <c r="M271" s="38"/>
      <c r="N271" s="68"/>
      <c r="O271" s="89"/>
      <c r="R271" s="70"/>
      <c r="S271" s="38"/>
      <c r="T271" s="68"/>
    </row>
    <row r="272" spans="2:20" x14ac:dyDescent="0.25">
      <c r="B272" s="90"/>
      <c r="C272" s="91"/>
      <c r="D272" s="93"/>
      <c r="G272" s="90"/>
      <c r="H272" s="91"/>
      <c r="I272" s="93"/>
      <c r="L272" s="90"/>
      <c r="M272" s="91"/>
      <c r="N272" s="93"/>
      <c r="O272" s="89"/>
      <c r="R272" s="90"/>
      <c r="S272" s="91"/>
      <c r="T272" s="93"/>
    </row>
    <row r="273" spans="2:20" s="89" customFormat="1" x14ac:dyDescent="0.25">
      <c r="B273" s="90"/>
      <c r="C273" s="91"/>
      <c r="D273" s="81"/>
      <c r="G273" s="90"/>
      <c r="H273" s="91"/>
      <c r="I273" s="81"/>
      <c r="L273" s="90"/>
      <c r="M273" s="91"/>
      <c r="N273" s="81"/>
      <c r="R273" s="90"/>
      <c r="S273" s="91"/>
      <c r="T273" s="81"/>
    </row>
    <row r="274" spans="2:20" s="89" customFormat="1" x14ac:dyDescent="0.25"/>
    <row r="275" spans="2:20" x14ac:dyDescent="0.25">
      <c r="B275" s="134" t="s">
        <v>968</v>
      </c>
      <c r="C275" s="134"/>
      <c r="D275" s="134"/>
      <c r="G275" s="134" t="s">
        <v>968</v>
      </c>
      <c r="H275" s="134"/>
      <c r="I275" s="134"/>
      <c r="L275" s="134" t="s">
        <v>968</v>
      </c>
      <c r="M275" s="134"/>
      <c r="N275" s="134"/>
      <c r="O275" s="89"/>
      <c r="R275" s="134" t="s">
        <v>968</v>
      </c>
      <c r="S275" s="134"/>
      <c r="T275" s="134"/>
    </row>
    <row r="276" spans="2:20" ht="15" customHeight="1" x14ac:dyDescent="0.25">
      <c r="B276" s="134"/>
      <c r="C276" s="134"/>
      <c r="D276" s="134"/>
      <c r="G276" s="134"/>
      <c r="H276" s="134"/>
      <c r="I276" s="134"/>
      <c r="L276" s="134"/>
      <c r="M276" s="134"/>
      <c r="N276" s="134"/>
      <c r="O276" s="89"/>
      <c r="R276" s="134"/>
      <c r="S276" s="134"/>
      <c r="T276" s="134"/>
    </row>
    <row r="277" spans="2:20" ht="15" customHeight="1" x14ac:dyDescent="0.25">
      <c r="B277" s="134"/>
      <c r="C277" s="134"/>
      <c r="D277" s="134"/>
      <c r="G277" s="134"/>
      <c r="H277" s="134"/>
      <c r="I277" s="134"/>
      <c r="L277" s="134"/>
      <c r="M277" s="134"/>
      <c r="N277" s="134"/>
      <c r="O277" s="89"/>
      <c r="R277" s="134"/>
      <c r="S277" s="134"/>
      <c r="T277" s="134"/>
    </row>
    <row r="278" spans="2:20" ht="15" customHeight="1" x14ac:dyDescent="0.25">
      <c r="B278" s="134"/>
      <c r="C278" s="134"/>
      <c r="D278" s="134"/>
      <c r="G278" s="134"/>
      <c r="H278" s="134"/>
      <c r="I278" s="134"/>
      <c r="L278" s="134"/>
      <c r="M278" s="134"/>
      <c r="N278" s="134"/>
      <c r="O278" s="89"/>
      <c r="R278" s="134"/>
      <c r="S278" s="134"/>
      <c r="T278" s="134"/>
    </row>
    <row r="279" spans="2:20" ht="15" customHeight="1" x14ac:dyDescent="0.25">
      <c r="B279" s="134"/>
      <c r="C279" s="134"/>
      <c r="D279" s="134"/>
      <c r="G279" s="134"/>
      <c r="H279" s="134"/>
      <c r="I279" s="134"/>
      <c r="L279" s="134"/>
      <c r="M279" s="134"/>
      <c r="N279" s="134"/>
      <c r="O279" s="89"/>
      <c r="R279" s="134"/>
      <c r="S279" s="134"/>
      <c r="T279" s="134"/>
    </row>
    <row r="280" spans="2:20" ht="45" customHeight="1" x14ac:dyDescent="0.25">
      <c r="B280" s="134"/>
      <c r="C280" s="134"/>
      <c r="D280" s="134"/>
      <c r="G280" s="134"/>
      <c r="H280" s="134"/>
      <c r="I280" s="134"/>
      <c r="L280" s="134"/>
      <c r="M280" s="134"/>
      <c r="N280" s="134"/>
      <c r="O280" s="89"/>
      <c r="R280" s="134"/>
      <c r="S280" s="134"/>
      <c r="T280" s="134"/>
    </row>
    <row r="281" spans="2:20" ht="15" customHeight="1" x14ac:dyDescent="0.25">
      <c r="B281" s="85"/>
      <c r="C281" s="84"/>
      <c r="D281" s="83"/>
      <c r="G281" s="85"/>
      <c r="H281" s="84"/>
      <c r="I281" s="83"/>
      <c r="L281" s="85"/>
      <c r="M281" s="84"/>
      <c r="N281" s="83"/>
      <c r="O281" s="89"/>
      <c r="R281" s="85"/>
      <c r="S281" s="84"/>
      <c r="T281" s="83"/>
    </row>
    <row r="282" spans="2:20" ht="27" x14ac:dyDescent="0.25">
      <c r="B282" s="87">
        <v>1</v>
      </c>
      <c r="C282" s="88" t="str">
        <f>C298</f>
        <v>PEDRA AZUL - 163</v>
      </c>
      <c r="D282" s="86"/>
      <c r="G282" s="87">
        <v>1</v>
      </c>
      <c r="H282" s="88" t="str">
        <f>H298</f>
        <v>ANAGE - 222</v>
      </c>
      <c r="I282" s="86"/>
      <c r="L282" s="87">
        <v>1</v>
      </c>
      <c r="M282" s="88">
        <f t="shared" ref="M282:M292" si="31">M298</f>
        <v>0</v>
      </c>
      <c r="N282" s="86"/>
      <c r="O282" s="89"/>
      <c r="R282" s="87">
        <v>1</v>
      </c>
      <c r="S282" s="88">
        <f t="shared" ref="S282:S292" si="32">S298</f>
        <v>0</v>
      </c>
      <c r="T282" s="86"/>
    </row>
    <row r="283" spans="2:20" ht="27" x14ac:dyDescent="0.25">
      <c r="B283" s="87">
        <f>B282+1</f>
        <v>2</v>
      </c>
      <c r="C283" s="88" t="str">
        <f>C299</f>
        <v>ALMOÇO</v>
      </c>
      <c r="D283" s="86"/>
      <c r="G283" s="87">
        <f>G282+1</f>
        <v>2</v>
      </c>
      <c r="H283" s="88" t="str">
        <f>H299</f>
        <v>TANHACU - 324</v>
      </c>
      <c r="I283" s="86"/>
      <c r="L283" s="87">
        <f t="shared" ref="L283:L292" si="33">L282+1</f>
        <v>2</v>
      </c>
      <c r="M283" s="88">
        <f t="shared" si="31"/>
        <v>0</v>
      </c>
      <c r="N283" s="86"/>
      <c r="O283" s="89"/>
      <c r="R283" s="87">
        <f t="shared" ref="R283:R292" si="34">R282+1</f>
        <v>2</v>
      </c>
      <c r="S283" s="88">
        <f t="shared" si="32"/>
        <v>0</v>
      </c>
      <c r="T283" s="86"/>
    </row>
    <row r="284" spans="2:20" ht="27" x14ac:dyDescent="0.25">
      <c r="B284" s="87">
        <f>B283+1</f>
        <v>3</v>
      </c>
      <c r="C284" s="88" t="str">
        <f>C300</f>
        <v>JEQUITINHONHA - 148</v>
      </c>
      <c r="D284" s="86"/>
      <c r="G284" s="87">
        <f>G283+1</f>
        <v>3</v>
      </c>
      <c r="H284" s="88" t="str">
        <f>H300</f>
        <v>BARRA DA ESTIVA - 463</v>
      </c>
      <c r="I284" s="86"/>
      <c r="L284" s="87">
        <f t="shared" si="33"/>
        <v>3</v>
      </c>
      <c r="M284" s="88">
        <f t="shared" si="31"/>
        <v>0</v>
      </c>
      <c r="N284" s="86"/>
      <c r="O284" s="89"/>
      <c r="R284" s="87">
        <f t="shared" si="34"/>
        <v>3</v>
      </c>
      <c r="S284" s="88">
        <f t="shared" si="32"/>
        <v>0</v>
      </c>
      <c r="T284" s="86"/>
    </row>
    <row r="285" spans="2:20" ht="27" x14ac:dyDescent="0.25">
      <c r="B285" s="87">
        <f>B284+1</f>
        <v>4</v>
      </c>
      <c r="C285" s="88" t="str">
        <f>C301</f>
        <v>ALMENARA - 147</v>
      </c>
      <c r="D285" s="86"/>
      <c r="G285" s="87"/>
      <c r="H285" s="88"/>
      <c r="I285" s="86"/>
      <c r="L285" s="87">
        <f t="shared" si="33"/>
        <v>4</v>
      </c>
      <c r="M285" s="88">
        <f t="shared" si="31"/>
        <v>0</v>
      </c>
      <c r="N285" s="86"/>
      <c r="O285" s="89"/>
      <c r="R285" s="87">
        <f t="shared" si="34"/>
        <v>4</v>
      </c>
      <c r="S285" s="88">
        <f t="shared" si="32"/>
        <v>0</v>
      </c>
      <c r="T285" s="86"/>
    </row>
    <row r="286" spans="2:20" ht="27" x14ac:dyDescent="0.25">
      <c r="B286" s="87">
        <f>B285+1</f>
        <v>5</v>
      </c>
      <c r="C286" s="88" t="str">
        <f>C302</f>
        <v>JORDANIA - 308</v>
      </c>
      <c r="D286" s="86"/>
      <c r="G286" s="87"/>
      <c r="H286" s="88"/>
      <c r="I286" s="86"/>
      <c r="L286" s="87">
        <f t="shared" si="33"/>
        <v>5</v>
      </c>
      <c r="M286" s="88">
        <f t="shared" si="31"/>
        <v>0</v>
      </c>
      <c r="N286" s="86"/>
      <c r="O286" s="89"/>
      <c r="R286" s="87">
        <f t="shared" si="34"/>
        <v>5</v>
      </c>
      <c r="S286" s="88">
        <f t="shared" si="32"/>
        <v>0</v>
      </c>
      <c r="T286" s="86"/>
    </row>
    <row r="287" spans="2:20" ht="27" x14ac:dyDescent="0.25">
      <c r="B287" s="87"/>
      <c r="C287" s="88"/>
      <c r="D287" s="86"/>
      <c r="G287" s="87"/>
      <c r="H287" s="88"/>
      <c r="I287" s="86"/>
      <c r="L287" s="87">
        <f t="shared" si="33"/>
        <v>6</v>
      </c>
      <c r="M287" s="88">
        <f t="shared" si="31"/>
        <v>0</v>
      </c>
      <c r="N287" s="86"/>
      <c r="O287" s="89"/>
      <c r="R287" s="87">
        <f t="shared" si="34"/>
        <v>6</v>
      </c>
      <c r="S287" s="88">
        <f t="shared" si="32"/>
        <v>0</v>
      </c>
      <c r="T287" s="86"/>
    </row>
    <row r="288" spans="2:20" ht="27" x14ac:dyDescent="0.25">
      <c r="B288" s="87"/>
      <c r="C288" s="88"/>
      <c r="D288" s="86"/>
      <c r="G288" s="87"/>
      <c r="H288" s="88"/>
      <c r="I288" s="86"/>
      <c r="L288" s="87">
        <f t="shared" si="33"/>
        <v>7</v>
      </c>
      <c r="M288" s="88">
        <f t="shared" si="31"/>
        <v>0</v>
      </c>
      <c r="N288" s="86"/>
      <c r="O288" s="89"/>
      <c r="R288" s="87">
        <f t="shared" si="34"/>
        <v>7</v>
      </c>
      <c r="S288" s="88">
        <f t="shared" si="32"/>
        <v>0</v>
      </c>
      <c r="T288" s="86"/>
    </row>
    <row r="289" spans="2:20" ht="27" x14ac:dyDescent="0.25">
      <c r="B289" s="87"/>
      <c r="C289" s="88"/>
      <c r="D289" s="86"/>
      <c r="G289" s="87"/>
      <c r="H289" s="88"/>
      <c r="I289" s="86"/>
      <c r="L289" s="87">
        <f t="shared" si="33"/>
        <v>8</v>
      </c>
      <c r="M289" s="88">
        <f t="shared" si="31"/>
        <v>0</v>
      </c>
      <c r="N289" s="86"/>
      <c r="O289" s="89"/>
      <c r="R289" s="87">
        <f t="shared" si="34"/>
        <v>8</v>
      </c>
      <c r="S289" s="88">
        <f t="shared" si="32"/>
        <v>0</v>
      </c>
      <c r="T289" s="86"/>
    </row>
    <row r="290" spans="2:20" ht="27" x14ac:dyDescent="0.25">
      <c r="B290" s="87"/>
      <c r="C290" s="88"/>
      <c r="D290" s="82"/>
      <c r="G290" s="87"/>
      <c r="H290" s="88"/>
      <c r="I290" s="82"/>
      <c r="L290" s="87">
        <f t="shared" si="33"/>
        <v>9</v>
      </c>
      <c r="M290" s="88">
        <f t="shared" si="31"/>
        <v>0</v>
      </c>
      <c r="N290" s="82"/>
      <c r="O290" s="89"/>
      <c r="R290" s="87">
        <f t="shared" si="34"/>
        <v>9</v>
      </c>
      <c r="S290" s="88">
        <f t="shared" si="32"/>
        <v>0</v>
      </c>
      <c r="T290" s="82"/>
    </row>
    <row r="291" spans="2:20" ht="27" x14ac:dyDescent="0.25">
      <c r="B291" s="87"/>
      <c r="C291" s="88"/>
      <c r="D291" s="82"/>
      <c r="G291" s="87"/>
      <c r="H291" s="88"/>
      <c r="I291" s="82"/>
      <c r="L291" s="87">
        <f t="shared" si="33"/>
        <v>10</v>
      </c>
      <c r="M291" s="88">
        <f t="shared" si="31"/>
        <v>0</v>
      </c>
      <c r="N291" s="82"/>
      <c r="O291" s="89"/>
      <c r="R291" s="87">
        <f t="shared" si="34"/>
        <v>10</v>
      </c>
      <c r="S291" s="88">
        <f t="shared" si="32"/>
        <v>0</v>
      </c>
      <c r="T291" s="82"/>
    </row>
    <row r="292" spans="2:20" s="89" customFormat="1" ht="27" x14ac:dyDescent="0.25">
      <c r="B292" s="87"/>
      <c r="C292" s="88"/>
      <c r="D292" s="92"/>
      <c r="G292" s="87"/>
      <c r="H292" s="88"/>
      <c r="I292" s="92"/>
      <c r="L292" s="87">
        <f t="shared" si="33"/>
        <v>11</v>
      </c>
      <c r="M292" s="88">
        <f t="shared" si="31"/>
        <v>0</v>
      </c>
      <c r="N292" s="92"/>
      <c r="R292" s="87">
        <f t="shared" si="34"/>
        <v>11</v>
      </c>
      <c r="S292" s="88">
        <f t="shared" si="32"/>
        <v>0</v>
      </c>
      <c r="T292" s="92"/>
    </row>
    <row r="293" spans="2:20" s="89" customFormat="1" ht="15.75" customHeight="1" x14ac:dyDescent="0.25"/>
    <row r="294" spans="2:20" ht="15.75" customHeight="1" x14ac:dyDescent="0.25">
      <c r="B294" s="89"/>
      <c r="C294" s="89"/>
      <c r="D294" s="89"/>
      <c r="G294" s="89"/>
      <c r="H294" s="89"/>
      <c r="I294" s="89"/>
      <c r="M294" s="89"/>
      <c r="N294" s="89"/>
      <c r="O294" s="89"/>
      <c r="R294" s="89"/>
      <c r="S294" s="89"/>
      <c r="T294" s="89"/>
    </row>
    <row r="295" spans="2:20" ht="19.5" customHeight="1" x14ac:dyDescent="0.25">
      <c r="B295" s="131" t="s">
        <v>834</v>
      </c>
      <c r="C295" s="132"/>
      <c r="D295" s="133"/>
      <c r="G295" s="131" t="s">
        <v>834</v>
      </c>
      <c r="H295" s="132"/>
      <c r="I295" s="133"/>
      <c r="L295" s="131" t="s">
        <v>834</v>
      </c>
      <c r="M295" s="132"/>
      <c r="N295" s="133"/>
      <c r="O295" s="89"/>
      <c r="R295" s="131" t="s">
        <v>834</v>
      </c>
      <c r="S295" s="132"/>
      <c r="T295" s="133"/>
    </row>
    <row r="296" spans="2:20" x14ac:dyDescent="0.25">
      <c r="B296" s="112" t="s">
        <v>917</v>
      </c>
      <c r="C296" s="103" t="s">
        <v>676</v>
      </c>
      <c r="D296" s="114" t="s">
        <v>6</v>
      </c>
      <c r="G296" s="112" t="s">
        <v>852</v>
      </c>
      <c r="H296" s="103" t="s">
        <v>771</v>
      </c>
      <c r="I296" s="104" t="s">
        <v>870</v>
      </c>
      <c r="L296" s="55"/>
      <c r="M296" s="56"/>
      <c r="N296" s="57"/>
      <c r="O296" s="89"/>
      <c r="R296" s="55"/>
      <c r="S296" s="56"/>
      <c r="T296" s="57"/>
    </row>
    <row r="297" spans="2:20" x14ac:dyDescent="0.25">
      <c r="B297" s="116"/>
      <c r="C297" s="97"/>
      <c r="D297" s="97"/>
      <c r="G297" s="116"/>
      <c r="H297" s="97"/>
      <c r="I297" s="97"/>
      <c r="L297" s="59"/>
      <c r="M297" s="60"/>
      <c r="N297" s="61"/>
      <c r="O297" s="89"/>
      <c r="R297" s="59"/>
      <c r="S297" s="60"/>
      <c r="T297" s="61"/>
    </row>
    <row r="298" spans="2:20" x14ac:dyDescent="0.25">
      <c r="B298" s="95">
        <v>45698</v>
      </c>
      <c r="C298" s="100" t="s">
        <v>918</v>
      </c>
      <c r="D298" s="94">
        <v>0.33333333333333331</v>
      </c>
      <c r="G298" s="95">
        <v>45698</v>
      </c>
      <c r="H298" s="100" t="s">
        <v>954</v>
      </c>
      <c r="I298" s="94">
        <v>0.33333333333333331</v>
      </c>
      <c r="L298" s="59"/>
      <c r="M298" s="63"/>
      <c r="N298" s="61"/>
      <c r="O298" s="89"/>
      <c r="R298" s="59"/>
      <c r="S298" s="63"/>
      <c r="T298" s="61"/>
    </row>
    <row r="299" spans="2:20" x14ac:dyDescent="0.25">
      <c r="B299" s="95">
        <v>45698</v>
      </c>
      <c r="C299" s="119" t="s">
        <v>835</v>
      </c>
      <c r="D299" s="120" t="s">
        <v>839</v>
      </c>
      <c r="G299" s="95">
        <v>45698</v>
      </c>
      <c r="H299" s="101" t="s">
        <v>955</v>
      </c>
      <c r="I299" s="94">
        <v>0.4375</v>
      </c>
      <c r="L299" s="59"/>
      <c r="M299" s="64"/>
      <c r="N299" s="61"/>
      <c r="O299" s="89"/>
      <c r="R299" s="59"/>
      <c r="S299" s="64"/>
      <c r="T299" s="61"/>
    </row>
    <row r="300" spans="2:20" x14ac:dyDescent="0.25">
      <c r="B300" s="95">
        <v>45698</v>
      </c>
      <c r="C300" s="100" t="s">
        <v>919</v>
      </c>
      <c r="D300" s="94">
        <v>0.52083333333333337</v>
      </c>
      <c r="G300" s="95">
        <v>45698</v>
      </c>
      <c r="H300" s="101" t="s">
        <v>956</v>
      </c>
      <c r="I300" s="94">
        <v>0.58333333333333337</v>
      </c>
      <c r="L300" s="59"/>
      <c r="M300" s="65"/>
      <c r="N300" s="61"/>
      <c r="O300" s="89"/>
      <c r="R300" s="59"/>
      <c r="S300" s="65"/>
      <c r="T300" s="61"/>
    </row>
    <row r="301" spans="2:20" x14ac:dyDescent="0.25">
      <c r="B301" s="95">
        <v>45698</v>
      </c>
      <c r="C301" s="100" t="s">
        <v>920</v>
      </c>
      <c r="D301" s="94">
        <v>0.64583333333333337</v>
      </c>
      <c r="G301" s="96"/>
      <c r="H301" s="100"/>
      <c r="I301" s="94"/>
      <c r="L301" s="59"/>
      <c r="M301" s="66"/>
      <c r="N301" s="61"/>
      <c r="O301" s="89"/>
      <c r="R301" s="59"/>
      <c r="S301" s="66"/>
      <c r="T301" s="61"/>
    </row>
    <row r="302" spans="2:20" x14ac:dyDescent="0.25">
      <c r="B302" s="102">
        <v>45699</v>
      </c>
      <c r="C302" s="100" t="s">
        <v>921</v>
      </c>
      <c r="D302" s="94">
        <v>0.33333333333333331</v>
      </c>
      <c r="G302" s="96"/>
      <c r="H302" s="98"/>
      <c r="I302" s="94"/>
      <c r="L302" s="59"/>
      <c r="M302" s="65"/>
      <c r="N302" s="61"/>
      <c r="O302" s="89"/>
      <c r="R302" s="59"/>
      <c r="S302" s="65"/>
      <c r="T302" s="61"/>
    </row>
    <row r="303" spans="2:20" x14ac:dyDescent="0.25">
      <c r="B303" s="96"/>
      <c r="C303" s="98"/>
      <c r="D303" s="94"/>
      <c r="G303" s="96"/>
      <c r="H303" s="98"/>
      <c r="I303" s="94"/>
      <c r="L303" s="59"/>
      <c r="M303" s="67"/>
      <c r="N303" s="61"/>
      <c r="O303" s="89"/>
      <c r="R303" s="59"/>
      <c r="S303" s="67"/>
      <c r="T303" s="61"/>
    </row>
    <row r="304" spans="2:20" x14ac:dyDescent="0.25">
      <c r="B304" s="96"/>
      <c r="C304" s="99"/>
      <c r="D304" s="94"/>
      <c r="G304" s="96"/>
      <c r="H304" s="99"/>
      <c r="I304" s="94"/>
      <c r="L304" s="59"/>
      <c r="M304" s="63"/>
      <c r="N304" s="61"/>
      <c r="O304" s="89"/>
      <c r="R304" s="59"/>
      <c r="S304" s="63"/>
      <c r="T304" s="61"/>
    </row>
    <row r="305" spans="2:20" x14ac:dyDescent="0.25">
      <c r="B305" s="96"/>
      <c r="C305" s="99"/>
      <c r="D305" s="94"/>
      <c r="G305" s="96"/>
      <c r="H305" s="99"/>
      <c r="I305" s="94"/>
      <c r="L305" s="59"/>
      <c r="M305" s="65"/>
      <c r="N305" s="61"/>
      <c r="O305" s="89"/>
      <c r="R305" s="59"/>
      <c r="S305" s="65"/>
      <c r="T305" s="61"/>
    </row>
    <row r="306" spans="2:20" x14ac:dyDescent="0.25">
      <c r="B306" s="96"/>
      <c r="C306" s="99"/>
      <c r="D306" s="94"/>
      <c r="G306" s="96"/>
      <c r="H306" s="99"/>
      <c r="I306" s="94"/>
      <c r="L306" s="59"/>
      <c r="M306" s="63"/>
      <c r="N306" s="61"/>
      <c r="O306" s="89"/>
      <c r="R306" s="59"/>
      <c r="S306" s="63"/>
      <c r="T306" s="61"/>
    </row>
    <row r="307" spans="2:20" x14ac:dyDescent="0.25">
      <c r="B307" s="113" t="s">
        <v>381</v>
      </c>
      <c r="C307" s="110"/>
      <c r="D307" s="111" t="str">
        <f>VLOOKUP(C296,'BANCO DE DADOS'!$B$2:$D$260,3,FALSE)</f>
        <v>(34) 9 8862-7778</v>
      </c>
      <c r="G307" s="113" t="s">
        <v>381</v>
      </c>
      <c r="H307" s="110"/>
      <c r="I307" s="111" t="str">
        <f>VLOOKUP(H296,'BANCO DE DADOS'!$B$2:$D$260,3,FALSE)</f>
        <v>(34) 9 9290-7474</v>
      </c>
      <c r="L307" s="59"/>
      <c r="M307" s="63"/>
      <c r="N307" s="68"/>
      <c r="O307" s="89"/>
      <c r="R307" s="59"/>
      <c r="S307" s="63"/>
      <c r="T307" s="68"/>
    </row>
    <row r="308" spans="2:20" x14ac:dyDescent="0.25">
      <c r="B308" s="59"/>
      <c r="C308" s="63"/>
      <c r="D308" s="61"/>
      <c r="G308" s="59"/>
      <c r="H308" s="63"/>
      <c r="I308" s="61"/>
      <c r="L308" s="59"/>
      <c r="M308" s="63"/>
      <c r="N308" s="61"/>
      <c r="O308" s="89"/>
      <c r="R308" s="59"/>
      <c r="S308" s="63"/>
      <c r="T308" s="61"/>
    </row>
    <row r="309" spans="2:20" x14ac:dyDescent="0.25">
      <c r="B309" s="59"/>
      <c r="C309" s="63"/>
      <c r="D309" s="61"/>
      <c r="G309" s="59"/>
      <c r="H309" s="63"/>
      <c r="I309" s="61"/>
      <c r="L309" s="59"/>
      <c r="M309" s="63"/>
      <c r="N309" s="61"/>
      <c r="O309" s="89"/>
      <c r="R309" s="59"/>
      <c r="S309" s="63"/>
      <c r="T309" s="61"/>
    </row>
    <row r="310" spans="2:20" x14ac:dyDescent="0.25">
      <c r="B310" s="59"/>
      <c r="C310" s="66"/>
      <c r="D310" s="61"/>
      <c r="G310" s="59"/>
      <c r="H310" s="66"/>
      <c r="I310" s="61"/>
      <c r="L310" s="59"/>
      <c r="M310" s="66"/>
      <c r="N310" s="61"/>
      <c r="O310" s="89"/>
      <c r="R310" s="59"/>
      <c r="S310" s="66"/>
      <c r="T310" s="61"/>
    </row>
    <row r="311" spans="2:20" x14ac:dyDescent="0.25">
      <c r="B311" s="59"/>
      <c r="C311" s="63"/>
      <c r="D311" s="61"/>
      <c r="G311" s="59"/>
      <c r="H311" s="63"/>
      <c r="I311" s="61"/>
      <c r="L311" s="59"/>
      <c r="M311" s="63"/>
      <c r="N311" s="61"/>
      <c r="O311" s="89"/>
      <c r="R311" s="59"/>
      <c r="S311" s="63"/>
      <c r="T311" s="61"/>
    </row>
    <row r="312" spans="2:20" x14ac:dyDescent="0.25">
      <c r="B312" s="59"/>
      <c r="C312" s="63"/>
      <c r="D312" s="68"/>
      <c r="G312" s="59"/>
      <c r="H312" s="63"/>
      <c r="I312" s="68"/>
      <c r="L312" s="59"/>
      <c r="M312" s="63"/>
      <c r="N312" s="68"/>
      <c r="O312" s="89"/>
      <c r="R312" s="59"/>
      <c r="S312" s="63"/>
      <c r="T312" s="68"/>
    </row>
    <row r="313" spans="2:20" x14ac:dyDescent="0.25">
      <c r="B313" s="59"/>
      <c r="C313" s="63"/>
      <c r="D313" s="68"/>
      <c r="G313" s="59"/>
      <c r="H313" s="63"/>
      <c r="I313" s="68"/>
      <c r="L313" s="59"/>
      <c r="M313" s="63"/>
      <c r="N313" s="68"/>
      <c r="O313" s="89"/>
      <c r="R313" s="59"/>
      <c r="S313" s="63"/>
      <c r="T313" s="68"/>
    </row>
    <row r="314" spans="2:20" x14ac:dyDescent="0.25">
      <c r="B314" s="70"/>
      <c r="C314" s="71"/>
      <c r="D314" s="61"/>
      <c r="G314" s="70"/>
      <c r="H314" s="71"/>
      <c r="I314" s="61"/>
      <c r="L314" s="70"/>
      <c r="M314" s="71"/>
      <c r="N314" s="61"/>
      <c r="O314" s="89"/>
      <c r="R314" s="70"/>
      <c r="S314" s="71"/>
      <c r="T314" s="61"/>
    </row>
    <row r="315" spans="2:20" x14ac:dyDescent="0.25">
      <c r="B315" s="70"/>
      <c r="C315" s="60"/>
      <c r="D315" s="68"/>
      <c r="G315" s="70"/>
      <c r="H315" s="60"/>
      <c r="I315" s="68"/>
      <c r="L315" s="70"/>
      <c r="M315" s="60"/>
      <c r="N315" s="68"/>
      <c r="O315" s="89"/>
      <c r="R315" s="70"/>
      <c r="S315" s="60"/>
      <c r="T315" s="68"/>
    </row>
    <row r="316" spans="2:20" x14ac:dyDescent="0.25">
      <c r="B316" s="70"/>
      <c r="C316" s="38"/>
      <c r="D316" s="68"/>
      <c r="G316" s="70"/>
      <c r="H316" s="38"/>
      <c r="I316" s="68"/>
      <c r="L316" s="70"/>
      <c r="M316" s="38"/>
      <c r="N316" s="68"/>
      <c r="O316" s="89"/>
      <c r="R316" s="70"/>
      <c r="S316" s="38"/>
      <c r="T316" s="68"/>
    </row>
    <row r="317" spans="2:20" ht="15.75" customHeight="1" x14ac:dyDescent="0.25">
      <c r="B317" s="72"/>
      <c r="C317" s="73"/>
      <c r="D317" s="74"/>
      <c r="G317" s="72"/>
      <c r="H317" s="73"/>
      <c r="I317" s="74"/>
      <c r="L317" s="72"/>
      <c r="M317" s="73"/>
      <c r="N317" s="74"/>
      <c r="O317" s="89"/>
      <c r="R317" s="72"/>
      <c r="S317" s="73"/>
      <c r="T317" s="74"/>
    </row>
    <row r="318" spans="2:20" s="89" customFormat="1" x14ac:dyDescent="0.25">
      <c r="B318" s="90"/>
      <c r="C318" s="91"/>
      <c r="D318" s="93"/>
      <c r="G318" s="90"/>
      <c r="H318" s="91"/>
      <c r="I318" s="93"/>
      <c r="L318" s="90"/>
      <c r="M318" s="91"/>
      <c r="N318" s="93"/>
      <c r="R318" s="90"/>
      <c r="S318" s="91"/>
      <c r="T318" s="93"/>
    </row>
    <row r="319" spans="2:20" s="89" customFormat="1" x14ac:dyDescent="0.25">
      <c r="B319" s="90"/>
      <c r="C319" s="91"/>
      <c r="D319" s="81"/>
      <c r="G319" s="90"/>
      <c r="H319" s="91"/>
      <c r="I319" s="81"/>
      <c r="L319" s="90"/>
      <c r="M319" s="91"/>
      <c r="N319" s="81"/>
      <c r="R319" s="90"/>
      <c r="S319" s="91"/>
      <c r="T319" s="81"/>
    </row>
    <row r="320" spans="2:20" s="89" customFormat="1" x14ac:dyDescent="0.25"/>
    <row r="321" spans="2:20" x14ac:dyDescent="0.25">
      <c r="B321" s="134" t="s">
        <v>968</v>
      </c>
      <c r="C321" s="134"/>
      <c r="D321" s="134"/>
      <c r="G321" s="134" t="s">
        <v>968</v>
      </c>
      <c r="H321" s="134"/>
      <c r="I321" s="134"/>
      <c r="L321" s="134" t="s">
        <v>968</v>
      </c>
      <c r="M321" s="134"/>
      <c r="N321" s="134"/>
      <c r="O321" s="89"/>
      <c r="R321" s="134" t="s">
        <v>968</v>
      </c>
      <c r="S321" s="134"/>
      <c r="T321" s="134"/>
    </row>
    <row r="322" spans="2:20" ht="15" customHeight="1" x14ac:dyDescent="0.25">
      <c r="B322" s="134"/>
      <c r="C322" s="134"/>
      <c r="D322" s="134"/>
      <c r="G322" s="134"/>
      <c r="H322" s="134"/>
      <c r="I322" s="134"/>
      <c r="L322" s="134"/>
      <c r="M322" s="134"/>
      <c r="N322" s="134"/>
      <c r="O322" s="89"/>
      <c r="R322" s="134"/>
      <c r="S322" s="134"/>
      <c r="T322" s="134"/>
    </row>
    <row r="323" spans="2:20" ht="15" customHeight="1" x14ac:dyDescent="0.25">
      <c r="B323" s="134"/>
      <c r="C323" s="134"/>
      <c r="D323" s="134"/>
      <c r="G323" s="134"/>
      <c r="H323" s="134"/>
      <c r="I323" s="134"/>
      <c r="L323" s="134"/>
      <c r="M323" s="134"/>
      <c r="N323" s="134"/>
      <c r="O323" s="89"/>
      <c r="R323" s="134"/>
      <c r="S323" s="134"/>
      <c r="T323" s="134"/>
    </row>
    <row r="324" spans="2:20" ht="15" customHeight="1" x14ac:dyDescent="0.25">
      <c r="B324" s="134"/>
      <c r="C324" s="134"/>
      <c r="D324" s="134"/>
      <c r="G324" s="134"/>
      <c r="H324" s="134"/>
      <c r="I324" s="134"/>
      <c r="L324" s="134"/>
      <c r="M324" s="134"/>
      <c r="N324" s="134"/>
      <c r="O324" s="89"/>
      <c r="R324" s="134"/>
      <c r="S324" s="134"/>
      <c r="T324" s="134"/>
    </row>
    <row r="325" spans="2:20" ht="15" customHeight="1" x14ac:dyDescent="0.25">
      <c r="B325" s="134"/>
      <c r="C325" s="134"/>
      <c r="D325" s="134"/>
      <c r="G325" s="134"/>
      <c r="H325" s="134"/>
      <c r="I325" s="134"/>
      <c r="L325" s="134"/>
      <c r="M325" s="134"/>
      <c r="N325" s="134"/>
      <c r="O325" s="89"/>
      <c r="R325" s="134"/>
      <c r="S325" s="134"/>
      <c r="T325" s="134"/>
    </row>
    <row r="326" spans="2:20" ht="43.5" customHeight="1" x14ac:dyDescent="0.25">
      <c r="B326" s="134"/>
      <c r="C326" s="134"/>
      <c r="D326" s="134"/>
      <c r="G326" s="134"/>
      <c r="H326" s="134"/>
      <c r="I326" s="134"/>
      <c r="L326" s="134"/>
      <c r="M326" s="134"/>
      <c r="N326" s="134"/>
      <c r="O326" s="89"/>
      <c r="R326" s="134"/>
      <c r="S326" s="134"/>
      <c r="T326" s="134"/>
    </row>
    <row r="327" spans="2:20" ht="15" customHeight="1" x14ac:dyDescent="0.25">
      <c r="B327" s="85"/>
      <c r="C327" s="84"/>
      <c r="D327" s="83"/>
      <c r="G327" s="85"/>
      <c r="H327" s="84"/>
      <c r="I327" s="83"/>
      <c r="L327" s="85"/>
      <c r="M327" s="84"/>
      <c r="N327" s="83"/>
      <c r="O327" s="89"/>
      <c r="R327" s="85"/>
      <c r="S327" s="84"/>
      <c r="T327" s="83"/>
    </row>
    <row r="328" spans="2:20" ht="27" x14ac:dyDescent="0.25">
      <c r="B328" s="87">
        <v>1</v>
      </c>
      <c r="C328" s="88" t="str">
        <f t="shared" ref="C328:C333" si="35">C344</f>
        <v>CONSELHEIRO PENA - 184</v>
      </c>
      <c r="D328" s="86"/>
      <c r="G328" s="87">
        <v>1</v>
      </c>
      <c r="H328" s="88" t="str">
        <f>H344</f>
        <v>ITAMBACURI - 193</v>
      </c>
      <c r="I328" s="86"/>
      <c r="L328" s="87">
        <v>1</v>
      </c>
      <c r="M328" s="88">
        <f t="shared" ref="M328:M338" si="36">M344</f>
        <v>0</v>
      </c>
      <c r="N328" s="86"/>
      <c r="O328" s="89"/>
      <c r="R328" s="87">
        <v>1</v>
      </c>
      <c r="S328" s="88">
        <f t="shared" ref="S328:S338" si="37">S344</f>
        <v>0</v>
      </c>
      <c r="T328" s="86"/>
    </row>
    <row r="329" spans="2:20" ht="27" x14ac:dyDescent="0.25">
      <c r="B329" s="87">
        <f>B328+1</f>
        <v>2</v>
      </c>
      <c r="C329" s="88" t="str">
        <f t="shared" si="35"/>
        <v>AIMORES - 183</v>
      </c>
      <c r="D329" s="86"/>
      <c r="G329" s="87">
        <f>G328+1</f>
        <v>2</v>
      </c>
      <c r="H329" s="88" t="str">
        <f>H345</f>
        <v>ALMOÇO</v>
      </c>
      <c r="I329" s="86"/>
      <c r="L329" s="87">
        <f t="shared" ref="L329:L338" si="38">L328+1</f>
        <v>2</v>
      </c>
      <c r="M329" s="88">
        <f t="shared" si="36"/>
        <v>0</v>
      </c>
      <c r="N329" s="86"/>
      <c r="O329" s="89"/>
      <c r="R329" s="87">
        <f t="shared" ref="R329:R338" si="39">R328+1</f>
        <v>2</v>
      </c>
      <c r="S329" s="88">
        <f t="shared" si="37"/>
        <v>0</v>
      </c>
      <c r="T329" s="86"/>
    </row>
    <row r="330" spans="2:20" ht="27" x14ac:dyDescent="0.25">
      <c r="B330" s="87">
        <f>B329+1</f>
        <v>3</v>
      </c>
      <c r="C330" s="88" t="str">
        <f t="shared" si="35"/>
        <v>ALMOÇO</v>
      </c>
      <c r="D330" s="86"/>
      <c r="G330" s="87">
        <f>G329+1</f>
        <v>3</v>
      </c>
      <c r="H330" s="88" t="str">
        <f>H346</f>
        <v>POTE - 169</v>
      </c>
      <c r="I330" s="86"/>
      <c r="L330" s="87">
        <f t="shared" si="38"/>
        <v>3</v>
      </c>
      <c r="M330" s="88">
        <f t="shared" si="36"/>
        <v>0</v>
      </c>
      <c r="N330" s="86"/>
      <c r="O330" s="89"/>
      <c r="R330" s="87">
        <f t="shared" si="39"/>
        <v>3</v>
      </c>
      <c r="S330" s="88">
        <f t="shared" si="37"/>
        <v>0</v>
      </c>
      <c r="T330" s="86"/>
    </row>
    <row r="331" spans="2:20" ht="27" x14ac:dyDescent="0.25">
      <c r="B331" s="87">
        <f>B330+1</f>
        <v>4</v>
      </c>
      <c r="C331" s="88" t="str">
        <f t="shared" si="35"/>
        <v>BAIXO GUANDU - 207</v>
      </c>
      <c r="D331" s="86"/>
      <c r="G331" s="87">
        <f>G330+1</f>
        <v>4</v>
      </c>
      <c r="H331" s="88" t="str">
        <f>H347</f>
        <v>MALACACHETA - 225</v>
      </c>
      <c r="I331" s="86"/>
      <c r="L331" s="87">
        <f t="shared" si="38"/>
        <v>4</v>
      </c>
      <c r="M331" s="88">
        <f t="shared" si="36"/>
        <v>0</v>
      </c>
      <c r="N331" s="86"/>
      <c r="O331" s="89"/>
      <c r="R331" s="87">
        <f t="shared" si="39"/>
        <v>4</v>
      </c>
      <c r="S331" s="88">
        <f t="shared" si="37"/>
        <v>0</v>
      </c>
      <c r="T331" s="86"/>
    </row>
    <row r="332" spans="2:20" ht="27" x14ac:dyDescent="0.25">
      <c r="B332" s="87">
        <f>B331+1</f>
        <v>5</v>
      </c>
      <c r="C332" s="88" t="str">
        <f t="shared" si="35"/>
        <v>AGUAS FORMOSAS - 286</v>
      </c>
      <c r="D332" s="86"/>
      <c r="G332" s="87"/>
      <c r="H332" s="88"/>
      <c r="I332" s="86"/>
      <c r="L332" s="87">
        <f t="shared" si="38"/>
        <v>5</v>
      </c>
      <c r="M332" s="88">
        <f t="shared" si="36"/>
        <v>0</v>
      </c>
      <c r="N332" s="86"/>
      <c r="O332" s="89"/>
      <c r="R332" s="87">
        <f t="shared" si="39"/>
        <v>5</v>
      </c>
      <c r="S332" s="88">
        <f t="shared" si="37"/>
        <v>0</v>
      </c>
      <c r="T332" s="86"/>
    </row>
    <row r="333" spans="2:20" ht="27" x14ac:dyDescent="0.25">
      <c r="B333" s="87">
        <f>B332+1</f>
        <v>6</v>
      </c>
      <c r="C333" s="88" t="str">
        <f t="shared" si="35"/>
        <v>CARREGAMENTO</v>
      </c>
      <c r="D333" s="86"/>
      <c r="G333" s="87"/>
      <c r="H333" s="88"/>
      <c r="I333" s="86"/>
      <c r="L333" s="87">
        <f t="shared" si="38"/>
        <v>6</v>
      </c>
      <c r="M333" s="88">
        <f t="shared" si="36"/>
        <v>0</v>
      </c>
      <c r="N333" s="86"/>
      <c r="O333" s="89"/>
      <c r="R333" s="87">
        <f t="shared" si="39"/>
        <v>6</v>
      </c>
      <c r="S333" s="88">
        <f t="shared" si="37"/>
        <v>0</v>
      </c>
      <c r="T333" s="86"/>
    </row>
    <row r="334" spans="2:20" ht="27" x14ac:dyDescent="0.25">
      <c r="B334" s="87"/>
      <c r="C334" s="88"/>
      <c r="D334" s="86"/>
      <c r="G334" s="87"/>
      <c r="H334" s="88"/>
      <c r="I334" s="86"/>
      <c r="L334" s="87">
        <f t="shared" si="38"/>
        <v>7</v>
      </c>
      <c r="M334" s="88">
        <f t="shared" si="36"/>
        <v>0</v>
      </c>
      <c r="N334" s="86"/>
      <c r="O334" s="89"/>
      <c r="R334" s="87">
        <f t="shared" si="39"/>
        <v>7</v>
      </c>
      <c r="S334" s="88">
        <f t="shared" si="37"/>
        <v>0</v>
      </c>
      <c r="T334" s="86"/>
    </row>
    <row r="335" spans="2:20" ht="27" x14ac:dyDescent="0.25">
      <c r="B335" s="87"/>
      <c r="C335" s="88"/>
      <c r="D335" s="86"/>
      <c r="G335" s="87"/>
      <c r="H335" s="88"/>
      <c r="I335" s="86"/>
      <c r="L335" s="87">
        <f t="shared" si="38"/>
        <v>8</v>
      </c>
      <c r="M335" s="88">
        <f t="shared" si="36"/>
        <v>0</v>
      </c>
      <c r="N335" s="86"/>
      <c r="O335" s="89"/>
      <c r="R335" s="87">
        <f t="shared" si="39"/>
        <v>8</v>
      </c>
      <c r="S335" s="88">
        <f t="shared" si="37"/>
        <v>0</v>
      </c>
      <c r="T335" s="86"/>
    </row>
    <row r="336" spans="2:20" ht="27" x14ac:dyDescent="0.25">
      <c r="B336" s="87"/>
      <c r="C336" s="88"/>
      <c r="D336" s="82"/>
      <c r="G336" s="87"/>
      <c r="H336" s="88"/>
      <c r="I336" s="82"/>
      <c r="L336" s="87">
        <f t="shared" si="38"/>
        <v>9</v>
      </c>
      <c r="M336" s="88">
        <f t="shared" si="36"/>
        <v>0</v>
      </c>
      <c r="N336" s="82"/>
      <c r="O336" s="89"/>
      <c r="R336" s="87">
        <f t="shared" si="39"/>
        <v>9</v>
      </c>
      <c r="S336" s="88">
        <f t="shared" si="37"/>
        <v>0</v>
      </c>
      <c r="T336" s="82"/>
    </row>
    <row r="337" spans="2:20" ht="27" x14ac:dyDescent="0.25">
      <c r="B337" s="87"/>
      <c r="C337" s="88"/>
      <c r="D337" s="82"/>
      <c r="G337" s="87"/>
      <c r="H337" s="88"/>
      <c r="I337" s="82"/>
      <c r="L337" s="87">
        <f t="shared" si="38"/>
        <v>10</v>
      </c>
      <c r="M337" s="88">
        <f t="shared" si="36"/>
        <v>0</v>
      </c>
      <c r="N337" s="82"/>
      <c r="O337" s="89"/>
      <c r="R337" s="87">
        <f t="shared" si="39"/>
        <v>10</v>
      </c>
      <c r="S337" s="88">
        <f t="shared" si="37"/>
        <v>0</v>
      </c>
      <c r="T337" s="82"/>
    </row>
    <row r="338" spans="2:20" s="89" customFormat="1" ht="27" x14ac:dyDescent="0.25">
      <c r="B338" s="87"/>
      <c r="C338" s="88"/>
      <c r="D338" s="92"/>
      <c r="G338" s="87"/>
      <c r="H338" s="88"/>
      <c r="I338" s="92"/>
      <c r="L338" s="87">
        <f t="shared" si="38"/>
        <v>11</v>
      </c>
      <c r="M338" s="88">
        <f t="shared" si="36"/>
        <v>0</v>
      </c>
      <c r="N338" s="92"/>
      <c r="R338" s="87">
        <f t="shared" si="39"/>
        <v>11</v>
      </c>
      <c r="S338" s="88">
        <f t="shared" si="37"/>
        <v>0</v>
      </c>
      <c r="T338" s="92"/>
    </row>
    <row r="339" spans="2:20" s="89" customFormat="1" ht="15.75" customHeight="1" x14ac:dyDescent="0.25"/>
    <row r="340" spans="2:20" ht="15.75" customHeight="1" x14ac:dyDescent="0.25">
      <c r="B340" s="89"/>
      <c r="C340" s="89"/>
      <c r="D340" s="89"/>
      <c r="G340" s="89"/>
      <c r="H340" s="89"/>
      <c r="I340" s="89"/>
      <c r="M340" s="89"/>
      <c r="N340" s="89"/>
      <c r="O340" s="89"/>
      <c r="R340" s="89"/>
      <c r="S340" s="89"/>
      <c r="T340" s="89"/>
    </row>
    <row r="341" spans="2:20" ht="19.5" customHeight="1" x14ac:dyDescent="0.25">
      <c r="B341" s="131" t="s">
        <v>834</v>
      </c>
      <c r="C341" s="132"/>
      <c r="D341" s="133"/>
      <c r="G341" s="131" t="s">
        <v>834</v>
      </c>
      <c r="H341" s="132"/>
      <c r="I341" s="133"/>
      <c r="L341" s="131" t="s">
        <v>834</v>
      </c>
      <c r="M341" s="132"/>
      <c r="N341" s="133"/>
      <c r="O341" s="89"/>
      <c r="R341" s="131" t="s">
        <v>834</v>
      </c>
      <c r="S341" s="132"/>
      <c r="T341" s="133"/>
    </row>
    <row r="342" spans="2:20" x14ac:dyDescent="0.25">
      <c r="B342" s="112" t="s">
        <v>922</v>
      </c>
      <c r="C342" s="103" t="s">
        <v>477</v>
      </c>
      <c r="D342" s="124" t="s">
        <v>842</v>
      </c>
      <c r="G342" s="112" t="s">
        <v>854</v>
      </c>
      <c r="H342" s="103" t="s">
        <v>538</v>
      </c>
      <c r="I342" s="114" t="s">
        <v>63</v>
      </c>
      <c r="L342" s="55"/>
      <c r="M342" s="56"/>
      <c r="N342" s="57"/>
      <c r="O342" s="89"/>
      <c r="R342" s="55"/>
      <c r="S342" s="56"/>
      <c r="T342" s="57"/>
    </row>
    <row r="343" spans="2:20" x14ac:dyDescent="0.25">
      <c r="B343" s="116"/>
      <c r="C343" s="97"/>
      <c r="D343" s="97"/>
      <c r="G343" s="116"/>
      <c r="H343" s="97"/>
      <c r="I343" s="97"/>
      <c r="L343" s="59"/>
      <c r="M343" s="60"/>
      <c r="N343" s="61"/>
      <c r="O343" s="89"/>
      <c r="R343" s="59"/>
      <c r="S343" s="60"/>
      <c r="T343" s="61"/>
    </row>
    <row r="344" spans="2:20" x14ac:dyDescent="0.25">
      <c r="B344" s="95">
        <v>45698</v>
      </c>
      <c r="C344" s="100" t="s">
        <v>923</v>
      </c>
      <c r="D344" s="94">
        <v>0.33333333333333331</v>
      </c>
      <c r="G344" s="95">
        <v>45698</v>
      </c>
      <c r="H344" s="100" t="s">
        <v>957</v>
      </c>
      <c r="I344" s="94">
        <v>0.33333333333333331</v>
      </c>
      <c r="L344" s="59"/>
      <c r="M344" s="63"/>
      <c r="N344" s="61"/>
      <c r="O344" s="89"/>
      <c r="R344" s="59"/>
      <c r="S344" s="63"/>
      <c r="T344" s="61"/>
    </row>
    <row r="345" spans="2:20" x14ac:dyDescent="0.25">
      <c r="B345" s="95">
        <v>45698</v>
      </c>
      <c r="C345" s="100" t="s">
        <v>924</v>
      </c>
      <c r="D345" s="94">
        <v>0.45833333333333331</v>
      </c>
      <c r="G345" s="95">
        <v>45698</v>
      </c>
      <c r="H345" s="119" t="s">
        <v>835</v>
      </c>
      <c r="I345" s="120" t="s">
        <v>845</v>
      </c>
      <c r="L345" s="59"/>
      <c r="M345" s="64"/>
      <c r="N345" s="61"/>
      <c r="O345" s="89"/>
      <c r="R345" s="59"/>
      <c r="S345" s="64"/>
      <c r="T345" s="61"/>
    </row>
    <row r="346" spans="2:20" x14ac:dyDescent="0.25">
      <c r="B346" s="95">
        <v>45698</v>
      </c>
      <c r="C346" s="119" t="s">
        <v>835</v>
      </c>
      <c r="D346" s="120" t="s">
        <v>838</v>
      </c>
      <c r="G346" s="95">
        <v>45698</v>
      </c>
      <c r="H346" s="100" t="s">
        <v>958</v>
      </c>
      <c r="I346" s="94">
        <v>0.52083333333333337</v>
      </c>
      <c r="L346" s="59"/>
      <c r="M346" s="65"/>
      <c r="N346" s="61"/>
      <c r="O346" s="89"/>
      <c r="R346" s="59"/>
      <c r="S346" s="65"/>
      <c r="T346" s="61"/>
    </row>
    <row r="347" spans="2:20" x14ac:dyDescent="0.25">
      <c r="B347" s="95">
        <v>45698</v>
      </c>
      <c r="C347" s="100" t="s">
        <v>925</v>
      </c>
      <c r="D347" s="94">
        <v>0.58333333333333337</v>
      </c>
      <c r="G347" s="95">
        <v>45698</v>
      </c>
      <c r="H347" s="101" t="s">
        <v>959</v>
      </c>
      <c r="I347" s="94">
        <v>0.66666666666666663</v>
      </c>
      <c r="L347" s="59"/>
      <c r="M347" s="66"/>
      <c r="N347" s="61"/>
      <c r="O347" s="89"/>
      <c r="R347" s="59"/>
      <c r="S347" s="66"/>
      <c r="T347" s="61"/>
    </row>
    <row r="348" spans="2:20" x14ac:dyDescent="0.25">
      <c r="B348" s="102">
        <v>45699</v>
      </c>
      <c r="C348" s="100" t="s">
        <v>926</v>
      </c>
      <c r="D348" s="94">
        <v>0.33333333333333331</v>
      </c>
      <c r="G348" s="96"/>
      <c r="H348" s="98"/>
      <c r="I348" s="94"/>
      <c r="L348" s="59"/>
      <c r="M348" s="65"/>
      <c r="N348" s="61"/>
      <c r="O348" s="89"/>
      <c r="R348" s="59"/>
      <c r="S348" s="65"/>
      <c r="T348" s="61"/>
    </row>
    <row r="349" spans="2:20" x14ac:dyDescent="0.25">
      <c r="B349" s="105">
        <v>45700</v>
      </c>
      <c r="C349" s="121" t="s">
        <v>836</v>
      </c>
      <c r="D349" s="122" t="s">
        <v>862</v>
      </c>
      <c r="G349" s="96"/>
      <c r="H349" s="98"/>
      <c r="I349" s="94"/>
      <c r="L349" s="59"/>
      <c r="M349" s="67"/>
      <c r="N349" s="61"/>
      <c r="O349" s="89"/>
      <c r="R349" s="59"/>
      <c r="S349" s="67"/>
      <c r="T349" s="61"/>
    </row>
    <row r="350" spans="2:20" x14ac:dyDescent="0.25">
      <c r="B350" s="96"/>
      <c r="C350" s="99"/>
      <c r="D350" s="94"/>
      <c r="G350" s="96"/>
      <c r="H350" s="99"/>
      <c r="I350" s="94"/>
      <c r="L350" s="59"/>
      <c r="M350" s="63"/>
      <c r="N350" s="61"/>
      <c r="O350" s="89"/>
      <c r="R350" s="59"/>
      <c r="S350" s="63"/>
      <c r="T350" s="61"/>
    </row>
    <row r="351" spans="2:20" x14ac:dyDescent="0.25">
      <c r="B351" s="96"/>
      <c r="C351" s="99"/>
      <c r="D351" s="94"/>
      <c r="G351" s="96"/>
      <c r="H351" s="99"/>
      <c r="I351" s="94"/>
      <c r="L351" s="59"/>
      <c r="M351" s="65"/>
      <c r="N351" s="61"/>
      <c r="O351" s="89"/>
      <c r="R351" s="59"/>
      <c r="S351" s="65"/>
      <c r="T351" s="61"/>
    </row>
    <row r="352" spans="2:20" x14ac:dyDescent="0.25">
      <c r="B352" s="96"/>
      <c r="C352" s="99"/>
      <c r="D352" s="94"/>
      <c r="G352" s="96"/>
      <c r="H352" s="99"/>
      <c r="I352" s="94"/>
      <c r="L352" s="59"/>
      <c r="M352" s="63"/>
      <c r="N352" s="61"/>
      <c r="O352" s="89"/>
      <c r="R352" s="59"/>
      <c r="S352" s="63"/>
      <c r="T352" s="61"/>
    </row>
    <row r="353" spans="2:20" x14ac:dyDescent="0.25">
      <c r="B353" s="113" t="s">
        <v>381</v>
      </c>
      <c r="C353" s="110"/>
      <c r="D353" s="111" t="str">
        <f>VLOOKUP(C342,'BANCO DE DADOS'!$B$2:$D$260,3,FALSE)</f>
        <v>(34) 9 9956-6248</v>
      </c>
      <c r="G353" s="113" t="s">
        <v>381</v>
      </c>
      <c r="H353" s="110"/>
      <c r="I353" s="111" t="str">
        <f>VLOOKUP(H342,'BANCO DE DADOS'!$B$2:$D$260,3,FALSE)</f>
        <v>(34) 99916-1557</v>
      </c>
      <c r="L353" s="59"/>
      <c r="M353" s="63"/>
      <c r="N353" s="68"/>
      <c r="O353" s="89"/>
      <c r="R353" s="59"/>
      <c r="S353" s="63"/>
      <c r="T353" s="68"/>
    </row>
    <row r="354" spans="2:20" x14ac:dyDescent="0.25">
      <c r="B354" s="59"/>
      <c r="C354" s="63"/>
      <c r="D354" s="61"/>
      <c r="G354" s="59"/>
      <c r="H354" s="63"/>
      <c r="I354" s="61"/>
      <c r="L354" s="59"/>
      <c r="M354" s="63"/>
      <c r="N354" s="61"/>
      <c r="O354" s="89"/>
      <c r="R354" s="59"/>
      <c r="S354" s="63"/>
      <c r="T354" s="61"/>
    </row>
    <row r="355" spans="2:20" x14ac:dyDescent="0.25">
      <c r="B355" s="59"/>
      <c r="C355" s="63"/>
      <c r="D355" s="61"/>
      <c r="G355" s="59"/>
      <c r="H355" s="63"/>
      <c r="I355" s="61"/>
      <c r="L355" s="59"/>
      <c r="M355" s="63"/>
      <c r="N355" s="61"/>
      <c r="O355" s="89"/>
      <c r="R355" s="59"/>
      <c r="S355" s="63"/>
      <c r="T355" s="61"/>
    </row>
    <row r="356" spans="2:20" x14ac:dyDescent="0.25">
      <c r="B356" s="59"/>
      <c r="C356" s="66"/>
      <c r="D356" s="61"/>
      <c r="G356" s="59"/>
      <c r="H356" s="66"/>
      <c r="I356" s="61"/>
      <c r="L356" s="59"/>
      <c r="M356" s="66"/>
      <c r="N356" s="61"/>
      <c r="O356" s="89"/>
      <c r="R356" s="59"/>
      <c r="S356" s="66"/>
      <c r="T356" s="61"/>
    </row>
    <row r="357" spans="2:20" x14ac:dyDescent="0.25">
      <c r="B357" s="59"/>
      <c r="C357" s="63"/>
      <c r="D357" s="61"/>
      <c r="G357" s="59"/>
      <c r="H357" s="63"/>
      <c r="I357" s="61"/>
      <c r="L357" s="59"/>
      <c r="M357" s="63"/>
      <c r="N357" s="61"/>
      <c r="O357" s="89"/>
      <c r="R357" s="59"/>
      <c r="S357" s="63"/>
      <c r="T357" s="61"/>
    </row>
    <row r="358" spans="2:20" x14ac:dyDescent="0.25">
      <c r="B358" s="59"/>
      <c r="C358" s="63"/>
      <c r="D358" s="68"/>
      <c r="G358" s="59"/>
      <c r="H358" s="63"/>
      <c r="I358" s="68"/>
      <c r="L358" s="59"/>
      <c r="M358" s="63"/>
      <c r="N358" s="68"/>
      <c r="O358" s="89"/>
      <c r="R358" s="59"/>
      <c r="S358" s="63"/>
      <c r="T358" s="68"/>
    </row>
    <row r="359" spans="2:20" x14ac:dyDescent="0.25">
      <c r="B359" s="59"/>
      <c r="C359" s="63"/>
      <c r="D359" s="68"/>
      <c r="G359" s="59"/>
      <c r="H359" s="63"/>
      <c r="I359" s="68"/>
      <c r="L359" s="59"/>
      <c r="M359" s="63"/>
      <c r="N359" s="68"/>
      <c r="O359" s="89"/>
      <c r="R359" s="59"/>
      <c r="S359" s="63"/>
      <c r="T359" s="68"/>
    </row>
    <row r="360" spans="2:20" x14ac:dyDescent="0.25">
      <c r="B360" s="70"/>
      <c r="C360" s="71"/>
      <c r="D360" s="61"/>
      <c r="G360" s="70"/>
      <c r="H360" s="71"/>
      <c r="I360" s="61"/>
      <c r="L360" s="70"/>
      <c r="M360" s="71"/>
      <c r="N360" s="61"/>
      <c r="O360" s="89"/>
      <c r="R360" s="70"/>
      <c r="S360" s="71"/>
      <c r="T360" s="61"/>
    </row>
    <row r="361" spans="2:20" x14ac:dyDescent="0.25">
      <c r="B361" s="70"/>
      <c r="C361" s="60"/>
      <c r="D361" s="68"/>
      <c r="G361" s="70"/>
      <c r="H361" s="60"/>
      <c r="I361" s="68"/>
      <c r="L361" s="70"/>
      <c r="M361" s="60"/>
      <c r="N361" s="68"/>
      <c r="O361" s="89"/>
      <c r="R361" s="70"/>
      <c r="S361" s="60"/>
      <c r="T361" s="68"/>
    </row>
    <row r="362" spans="2:20" x14ac:dyDescent="0.25">
      <c r="B362" s="70"/>
      <c r="C362" s="38"/>
      <c r="D362" s="68"/>
      <c r="G362" s="70"/>
      <c r="H362" s="38"/>
      <c r="I362" s="68"/>
      <c r="L362" s="70"/>
      <c r="M362" s="38"/>
      <c r="N362" s="68"/>
      <c r="O362" s="89"/>
      <c r="R362" s="70"/>
      <c r="S362" s="38"/>
      <c r="T362" s="68"/>
    </row>
    <row r="363" spans="2:20" ht="15.75" customHeight="1" x14ac:dyDescent="0.25">
      <c r="B363" s="72"/>
      <c r="C363" s="73"/>
      <c r="D363" s="74"/>
      <c r="G363" s="72"/>
      <c r="H363" s="73"/>
      <c r="I363" s="74"/>
      <c r="L363" s="72"/>
      <c r="M363" s="73"/>
      <c r="N363" s="74"/>
      <c r="O363" s="89"/>
      <c r="R363" s="72"/>
      <c r="S363" s="73"/>
      <c r="T363" s="74"/>
    </row>
    <row r="364" spans="2:20" x14ac:dyDescent="0.25">
      <c r="B364" s="90"/>
      <c r="C364" s="91"/>
      <c r="D364" s="93"/>
      <c r="G364" s="90"/>
      <c r="H364" s="91"/>
      <c r="I364" s="93"/>
      <c r="L364" s="90"/>
      <c r="M364" s="91"/>
      <c r="N364" s="93"/>
      <c r="O364" s="89"/>
      <c r="R364" s="90"/>
      <c r="S364" s="91"/>
      <c r="T364" s="93"/>
    </row>
    <row r="365" spans="2:20" s="89" customFormat="1" x14ac:dyDescent="0.25">
      <c r="B365" s="90"/>
      <c r="C365" s="91"/>
      <c r="D365" s="81"/>
      <c r="G365" s="90"/>
      <c r="H365" s="91"/>
      <c r="I365" s="81"/>
      <c r="L365" s="90"/>
      <c r="M365" s="91"/>
      <c r="N365" s="81"/>
      <c r="R365" s="90"/>
      <c r="S365" s="91"/>
      <c r="T365" s="81"/>
    </row>
    <row r="366" spans="2:20" s="89" customFormat="1" x14ac:dyDescent="0.25">
      <c r="B366" s="134" t="s">
        <v>968</v>
      </c>
      <c r="C366" s="134"/>
      <c r="D366" s="134"/>
      <c r="G366" s="134" t="s">
        <v>968</v>
      </c>
      <c r="H366" s="134"/>
      <c r="I366" s="134"/>
      <c r="L366" s="134" t="s">
        <v>968</v>
      </c>
      <c r="M366" s="134"/>
      <c r="N366" s="134"/>
      <c r="R366" s="134" t="s">
        <v>968</v>
      </c>
      <c r="S366" s="134"/>
      <c r="T366" s="134"/>
    </row>
    <row r="367" spans="2:20" ht="15" customHeight="1" x14ac:dyDescent="0.25">
      <c r="B367" s="134"/>
      <c r="C367" s="134"/>
      <c r="D367" s="134"/>
      <c r="G367" s="134"/>
      <c r="H367" s="134"/>
      <c r="I367" s="134"/>
      <c r="L367" s="134"/>
      <c r="M367" s="134"/>
      <c r="N367" s="134"/>
      <c r="O367" s="89"/>
      <c r="R367" s="134"/>
      <c r="S367" s="134"/>
      <c r="T367" s="134"/>
    </row>
    <row r="368" spans="2:20" ht="15" customHeight="1" x14ac:dyDescent="0.25">
      <c r="B368" s="134"/>
      <c r="C368" s="134"/>
      <c r="D368" s="134"/>
      <c r="G368" s="134"/>
      <c r="H368" s="134"/>
      <c r="I368" s="134"/>
      <c r="L368" s="134"/>
      <c r="M368" s="134"/>
      <c r="N368" s="134"/>
      <c r="O368" s="89"/>
      <c r="R368" s="134"/>
      <c r="S368" s="134"/>
      <c r="T368" s="134"/>
    </row>
    <row r="369" spans="2:20" ht="15" customHeight="1" x14ac:dyDescent="0.25">
      <c r="B369" s="134"/>
      <c r="C369" s="134"/>
      <c r="D369" s="134"/>
      <c r="G369" s="134"/>
      <c r="H369" s="134"/>
      <c r="I369" s="134"/>
      <c r="L369" s="134"/>
      <c r="M369" s="134"/>
      <c r="N369" s="134"/>
      <c r="O369" s="89"/>
      <c r="R369" s="134"/>
      <c r="S369" s="134"/>
      <c r="T369" s="134"/>
    </row>
    <row r="370" spans="2:20" ht="15" customHeight="1" x14ac:dyDescent="0.25">
      <c r="B370" s="134"/>
      <c r="C370" s="134"/>
      <c r="D370" s="134"/>
      <c r="G370" s="134"/>
      <c r="H370" s="134"/>
      <c r="I370" s="134"/>
      <c r="L370" s="134"/>
      <c r="M370" s="134"/>
      <c r="N370" s="134"/>
      <c r="O370" s="89"/>
      <c r="R370" s="134"/>
      <c r="S370" s="134"/>
      <c r="T370" s="134"/>
    </row>
    <row r="371" spans="2:20" ht="52.5" customHeight="1" x14ac:dyDescent="0.25">
      <c r="B371" s="134"/>
      <c r="C371" s="134"/>
      <c r="D371" s="134"/>
      <c r="G371" s="134"/>
      <c r="H371" s="134"/>
      <c r="I371" s="134"/>
      <c r="L371" s="134"/>
      <c r="M371" s="134"/>
      <c r="N371" s="134"/>
      <c r="O371" s="89"/>
      <c r="R371" s="134"/>
      <c r="S371" s="134"/>
      <c r="T371" s="134"/>
    </row>
    <row r="372" spans="2:20" ht="15" customHeight="1" x14ac:dyDescent="0.25">
      <c r="B372" s="85"/>
      <c r="C372" s="84"/>
      <c r="D372" s="83"/>
      <c r="G372" s="85"/>
      <c r="H372" s="84"/>
      <c r="I372" s="83"/>
      <c r="L372" s="85"/>
      <c r="M372" s="84"/>
      <c r="N372" s="83"/>
      <c r="O372" s="89"/>
      <c r="R372" s="85"/>
      <c r="S372" s="84"/>
      <c r="T372" s="83"/>
    </row>
    <row r="373" spans="2:20" ht="27" x14ac:dyDescent="0.25">
      <c r="B373" s="87">
        <v>1</v>
      </c>
      <c r="C373" s="88" t="str">
        <f t="shared" ref="C373:C379" si="40">C389</f>
        <v>GOVERNADOR VALADARES - 505</v>
      </c>
      <c r="D373" s="86"/>
      <c r="G373" s="87">
        <v>1</v>
      </c>
      <c r="H373" s="88" t="str">
        <f>H389</f>
        <v>MEDINA - 180</v>
      </c>
      <c r="I373" s="86"/>
      <c r="L373" s="87">
        <v>1</v>
      </c>
      <c r="M373" s="88">
        <f t="shared" ref="M373:M383" si="41">M389</f>
        <v>0</v>
      </c>
      <c r="N373" s="86"/>
      <c r="O373" s="89"/>
      <c r="R373" s="87">
        <v>1</v>
      </c>
      <c r="S373" s="88">
        <f t="shared" ref="S373:S383" si="42">S389</f>
        <v>0</v>
      </c>
      <c r="T373" s="86"/>
    </row>
    <row r="374" spans="2:20" ht="27" x14ac:dyDescent="0.25">
      <c r="B374" s="87">
        <f t="shared" ref="B374:B379" si="43">B373+1</f>
        <v>2</v>
      </c>
      <c r="C374" s="88" t="str">
        <f t="shared" si="40"/>
        <v>ALMOÇO</v>
      </c>
      <c r="D374" s="86"/>
      <c r="G374" s="87">
        <f>G373+1</f>
        <v>2</v>
      </c>
      <c r="H374" s="88" t="str">
        <f>H390</f>
        <v>ALMOÇO</v>
      </c>
      <c r="I374" s="86"/>
      <c r="L374" s="87">
        <f t="shared" ref="L374:L383" si="44">L373+1</f>
        <v>2</v>
      </c>
      <c r="M374" s="88">
        <f t="shared" si="41"/>
        <v>0</v>
      </c>
      <c r="N374" s="86"/>
      <c r="O374" s="89"/>
      <c r="R374" s="87">
        <f t="shared" ref="R374:R383" si="45">R373+1</f>
        <v>2</v>
      </c>
      <c r="S374" s="88">
        <f t="shared" si="42"/>
        <v>0</v>
      </c>
      <c r="T374" s="86"/>
    </row>
    <row r="375" spans="2:20" ht="27" x14ac:dyDescent="0.25">
      <c r="B375" s="87">
        <f t="shared" si="43"/>
        <v>3</v>
      </c>
      <c r="C375" s="88" t="str">
        <f t="shared" si="40"/>
        <v>CENTRAL DE MINAS - 320</v>
      </c>
      <c r="D375" s="86"/>
      <c r="G375" s="87">
        <f>G374+1</f>
        <v>3</v>
      </c>
      <c r="H375" s="88" t="str">
        <f>H391</f>
        <v>ITAOBIM - 138</v>
      </c>
      <c r="I375" s="86"/>
      <c r="L375" s="87">
        <f t="shared" si="44"/>
        <v>3</v>
      </c>
      <c r="M375" s="88">
        <f t="shared" si="41"/>
        <v>0</v>
      </c>
      <c r="N375" s="86"/>
      <c r="O375" s="89"/>
      <c r="R375" s="87">
        <f t="shared" si="45"/>
        <v>3</v>
      </c>
      <c r="S375" s="88">
        <f t="shared" si="42"/>
        <v>0</v>
      </c>
      <c r="T375" s="86"/>
    </row>
    <row r="376" spans="2:20" ht="27" x14ac:dyDescent="0.25">
      <c r="B376" s="87">
        <f t="shared" si="43"/>
        <v>4</v>
      </c>
      <c r="C376" s="88" t="str">
        <f t="shared" si="40"/>
        <v>MANTENA - 192</v>
      </c>
      <c r="D376" s="86"/>
      <c r="G376" s="87">
        <f>G375+1</f>
        <v>4</v>
      </c>
      <c r="H376" s="88" t="str">
        <f>H392</f>
        <v>ITINGA - 143</v>
      </c>
      <c r="I376" s="86"/>
      <c r="L376" s="87">
        <f t="shared" si="44"/>
        <v>4</v>
      </c>
      <c r="M376" s="88">
        <f t="shared" si="41"/>
        <v>0</v>
      </c>
      <c r="N376" s="86"/>
      <c r="O376" s="89"/>
      <c r="R376" s="87">
        <f t="shared" si="45"/>
        <v>4</v>
      </c>
      <c r="S376" s="88">
        <f t="shared" si="42"/>
        <v>0</v>
      </c>
      <c r="T376" s="86"/>
    </row>
    <row r="377" spans="2:20" ht="27" x14ac:dyDescent="0.25">
      <c r="B377" s="87">
        <f t="shared" si="43"/>
        <v>5</v>
      </c>
      <c r="C377" s="88" t="str">
        <f t="shared" si="40"/>
        <v>SAO GABRIEL DA PALHA - 318</v>
      </c>
      <c r="D377" s="86"/>
      <c r="G377" s="87"/>
      <c r="H377" s="88"/>
      <c r="I377" s="86"/>
      <c r="L377" s="87">
        <f t="shared" si="44"/>
        <v>5</v>
      </c>
      <c r="M377" s="88">
        <f t="shared" si="41"/>
        <v>0</v>
      </c>
      <c r="N377" s="86"/>
      <c r="O377" s="89"/>
      <c r="R377" s="87">
        <f t="shared" si="45"/>
        <v>5</v>
      </c>
      <c r="S377" s="88">
        <f t="shared" si="42"/>
        <v>0</v>
      </c>
      <c r="T377" s="86"/>
    </row>
    <row r="378" spans="2:20" ht="27" x14ac:dyDescent="0.25">
      <c r="B378" s="87">
        <f t="shared" si="43"/>
        <v>6</v>
      </c>
      <c r="C378" s="88" t="str">
        <f t="shared" si="40"/>
        <v>VILA VALERIO - 461</v>
      </c>
      <c r="D378" s="86"/>
      <c r="G378" s="87"/>
      <c r="H378" s="88"/>
      <c r="I378" s="86"/>
      <c r="L378" s="87">
        <f t="shared" si="44"/>
        <v>6</v>
      </c>
      <c r="M378" s="88">
        <f t="shared" si="41"/>
        <v>0</v>
      </c>
      <c r="N378" s="86"/>
      <c r="O378" s="89"/>
      <c r="R378" s="87">
        <f t="shared" si="45"/>
        <v>6</v>
      </c>
      <c r="S378" s="88">
        <f t="shared" si="42"/>
        <v>0</v>
      </c>
      <c r="T378" s="86"/>
    </row>
    <row r="379" spans="2:20" ht="27" x14ac:dyDescent="0.25">
      <c r="B379" s="87">
        <f t="shared" si="43"/>
        <v>7</v>
      </c>
      <c r="C379" s="88" t="str">
        <f t="shared" si="40"/>
        <v>CARREGAMENTO</v>
      </c>
      <c r="D379" s="86"/>
      <c r="G379" s="87"/>
      <c r="H379" s="88"/>
      <c r="I379" s="86"/>
      <c r="L379" s="87">
        <f t="shared" si="44"/>
        <v>7</v>
      </c>
      <c r="M379" s="88">
        <f t="shared" si="41"/>
        <v>0</v>
      </c>
      <c r="N379" s="86"/>
      <c r="O379" s="89"/>
      <c r="R379" s="87">
        <f t="shared" si="45"/>
        <v>7</v>
      </c>
      <c r="S379" s="88">
        <f t="shared" si="42"/>
        <v>0</v>
      </c>
      <c r="T379" s="86"/>
    </row>
    <row r="380" spans="2:20" ht="27" x14ac:dyDescent="0.25">
      <c r="B380" s="87"/>
      <c r="C380" s="88"/>
      <c r="D380" s="86"/>
      <c r="G380" s="87"/>
      <c r="H380" s="88"/>
      <c r="I380" s="86"/>
      <c r="L380" s="87">
        <f t="shared" si="44"/>
        <v>8</v>
      </c>
      <c r="M380" s="88">
        <f t="shared" si="41"/>
        <v>0</v>
      </c>
      <c r="N380" s="86"/>
      <c r="O380" s="89"/>
      <c r="R380" s="87">
        <f t="shared" si="45"/>
        <v>8</v>
      </c>
      <c r="S380" s="88">
        <f t="shared" si="42"/>
        <v>0</v>
      </c>
      <c r="T380" s="86"/>
    </row>
    <row r="381" spans="2:20" ht="27" x14ac:dyDescent="0.25">
      <c r="B381" s="87"/>
      <c r="C381" s="88"/>
      <c r="D381" s="82"/>
      <c r="G381" s="87"/>
      <c r="H381" s="88"/>
      <c r="I381" s="82"/>
      <c r="L381" s="87">
        <f t="shared" si="44"/>
        <v>9</v>
      </c>
      <c r="M381" s="88">
        <f t="shared" si="41"/>
        <v>0</v>
      </c>
      <c r="N381" s="82"/>
      <c r="O381" s="89"/>
      <c r="R381" s="87">
        <f t="shared" si="45"/>
        <v>9</v>
      </c>
      <c r="S381" s="88">
        <f t="shared" si="42"/>
        <v>0</v>
      </c>
      <c r="T381" s="82"/>
    </row>
    <row r="382" spans="2:20" ht="27" x14ac:dyDescent="0.25">
      <c r="B382" s="87"/>
      <c r="C382" s="88"/>
      <c r="D382" s="82"/>
      <c r="G382" s="87"/>
      <c r="H382" s="88"/>
      <c r="I382" s="82"/>
      <c r="L382" s="87">
        <f t="shared" si="44"/>
        <v>10</v>
      </c>
      <c r="M382" s="88">
        <f t="shared" si="41"/>
        <v>0</v>
      </c>
      <c r="N382" s="82"/>
      <c r="O382" s="89"/>
      <c r="R382" s="87">
        <f t="shared" si="45"/>
        <v>10</v>
      </c>
      <c r="S382" s="88">
        <f t="shared" si="42"/>
        <v>0</v>
      </c>
      <c r="T382" s="82"/>
    </row>
    <row r="383" spans="2:20" ht="27" x14ac:dyDescent="0.25">
      <c r="B383" s="87"/>
      <c r="C383" s="88"/>
      <c r="D383" s="92"/>
      <c r="G383" s="87"/>
      <c r="H383" s="88"/>
      <c r="I383" s="92"/>
      <c r="L383" s="87">
        <f t="shared" si="44"/>
        <v>11</v>
      </c>
      <c r="M383" s="88">
        <f t="shared" si="41"/>
        <v>0</v>
      </c>
      <c r="N383" s="92"/>
      <c r="O383" s="89"/>
      <c r="R383" s="87">
        <f t="shared" si="45"/>
        <v>11</v>
      </c>
      <c r="S383" s="88">
        <f t="shared" si="42"/>
        <v>0</v>
      </c>
      <c r="T383" s="92"/>
    </row>
    <row r="384" spans="2:20" s="89" customFormat="1" ht="15.75" customHeight="1" x14ac:dyDescent="0.25"/>
    <row r="385" spans="2:20" ht="15.75" customHeight="1" x14ac:dyDescent="0.25">
      <c r="B385" s="89"/>
      <c r="C385" s="89"/>
      <c r="D385" s="89"/>
      <c r="G385" s="89"/>
      <c r="H385" s="89"/>
      <c r="I385" s="89"/>
      <c r="M385" s="89"/>
      <c r="N385" s="89"/>
      <c r="O385" s="89"/>
      <c r="R385" s="89"/>
      <c r="S385" s="89"/>
      <c r="T385" s="89"/>
    </row>
    <row r="386" spans="2:20" ht="19.5" customHeight="1" x14ac:dyDescent="0.25">
      <c r="B386" s="131" t="s">
        <v>834</v>
      </c>
      <c r="C386" s="132"/>
      <c r="D386" s="133"/>
      <c r="G386" s="131" t="s">
        <v>834</v>
      </c>
      <c r="H386" s="132"/>
      <c r="I386" s="133"/>
      <c r="L386" s="131" t="s">
        <v>834</v>
      </c>
      <c r="M386" s="132"/>
      <c r="N386" s="133"/>
      <c r="O386" s="89"/>
      <c r="R386" s="131" t="s">
        <v>834</v>
      </c>
      <c r="S386" s="132"/>
      <c r="T386" s="133"/>
    </row>
    <row r="387" spans="2:20" x14ac:dyDescent="0.25">
      <c r="B387" s="112" t="s">
        <v>927</v>
      </c>
      <c r="C387" s="103" t="s">
        <v>563</v>
      </c>
      <c r="D387" s="114" t="s">
        <v>152</v>
      </c>
      <c r="G387" s="112" t="s">
        <v>855</v>
      </c>
      <c r="H387" s="103" t="s">
        <v>825</v>
      </c>
      <c r="I387" s="104" t="s">
        <v>853</v>
      </c>
      <c r="L387" s="55"/>
      <c r="M387" s="56"/>
      <c r="N387" s="57"/>
      <c r="O387" s="89"/>
      <c r="R387" s="55"/>
      <c r="S387" s="56"/>
      <c r="T387" s="57"/>
    </row>
    <row r="388" spans="2:20" x14ac:dyDescent="0.25">
      <c r="B388" s="116"/>
      <c r="C388" s="97"/>
      <c r="D388" s="97"/>
      <c r="G388" s="116"/>
      <c r="H388" s="97"/>
      <c r="I388" s="97"/>
      <c r="L388" s="59"/>
      <c r="M388" s="60"/>
      <c r="N388" s="61"/>
      <c r="O388" s="89"/>
      <c r="R388" s="59"/>
      <c r="S388" s="60"/>
      <c r="T388" s="61"/>
    </row>
    <row r="389" spans="2:20" x14ac:dyDescent="0.25">
      <c r="B389" s="95">
        <v>45698</v>
      </c>
      <c r="C389" s="100" t="s">
        <v>928</v>
      </c>
      <c r="D389" s="94">
        <v>0.29166666666666669</v>
      </c>
      <c r="G389" s="95">
        <v>45698</v>
      </c>
      <c r="H389" s="100" t="s">
        <v>960</v>
      </c>
      <c r="I389" s="94">
        <v>0.33333333333333331</v>
      </c>
      <c r="L389" s="59"/>
      <c r="M389" s="63"/>
      <c r="N389" s="61"/>
      <c r="O389" s="89"/>
      <c r="R389" s="59"/>
      <c r="S389" s="63"/>
      <c r="T389" s="61"/>
    </row>
    <row r="390" spans="2:20" x14ac:dyDescent="0.25">
      <c r="B390" s="95">
        <v>45698</v>
      </c>
      <c r="C390" s="119" t="s">
        <v>835</v>
      </c>
      <c r="D390" s="120" t="s">
        <v>839</v>
      </c>
      <c r="G390" s="95">
        <v>45698</v>
      </c>
      <c r="H390" s="119" t="s">
        <v>835</v>
      </c>
      <c r="I390" s="120" t="s">
        <v>839</v>
      </c>
      <c r="L390" s="59"/>
      <c r="M390" s="64"/>
      <c r="N390" s="61"/>
      <c r="O390" s="89"/>
      <c r="R390" s="59"/>
      <c r="S390" s="64"/>
      <c r="T390" s="61"/>
    </row>
    <row r="391" spans="2:20" x14ac:dyDescent="0.25">
      <c r="B391" s="95">
        <v>45698</v>
      </c>
      <c r="C391" s="100" t="s">
        <v>929</v>
      </c>
      <c r="D391" s="94">
        <v>0.5</v>
      </c>
      <c r="G391" s="95">
        <v>45698</v>
      </c>
      <c r="H391" s="100" t="s">
        <v>961</v>
      </c>
      <c r="I391" s="94">
        <v>0.5</v>
      </c>
      <c r="L391" s="59"/>
      <c r="M391" s="65"/>
      <c r="N391" s="61"/>
      <c r="O391" s="89"/>
      <c r="R391" s="59"/>
      <c r="S391" s="65"/>
      <c r="T391" s="61"/>
    </row>
    <row r="392" spans="2:20" x14ac:dyDescent="0.25">
      <c r="B392" s="95">
        <v>45698</v>
      </c>
      <c r="C392" s="100" t="s">
        <v>930</v>
      </c>
      <c r="D392" s="94">
        <v>0.625</v>
      </c>
      <c r="G392" s="95">
        <v>45698</v>
      </c>
      <c r="H392" s="100" t="s">
        <v>962</v>
      </c>
      <c r="I392" s="94">
        <v>0.625</v>
      </c>
      <c r="L392" s="59"/>
      <c r="M392" s="66"/>
      <c r="N392" s="61"/>
      <c r="O392" s="89"/>
      <c r="R392" s="59"/>
      <c r="S392" s="66"/>
      <c r="T392" s="61"/>
    </row>
    <row r="393" spans="2:20" x14ac:dyDescent="0.25">
      <c r="B393" s="102">
        <v>45699</v>
      </c>
      <c r="C393" s="100" t="s">
        <v>931</v>
      </c>
      <c r="D393" s="94">
        <v>0.33333333333333331</v>
      </c>
      <c r="G393" s="96"/>
      <c r="H393" s="98"/>
      <c r="I393" s="94"/>
      <c r="L393" s="59"/>
      <c r="M393" s="65"/>
      <c r="N393" s="61"/>
      <c r="O393" s="89"/>
      <c r="R393" s="59"/>
      <c r="S393" s="65"/>
      <c r="T393" s="61"/>
    </row>
    <row r="394" spans="2:20" x14ac:dyDescent="0.25">
      <c r="B394" s="102">
        <v>45699</v>
      </c>
      <c r="C394" s="100" t="s">
        <v>932</v>
      </c>
      <c r="D394" s="94">
        <v>0.4375</v>
      </c>
      <c r="G394" s="96"/>
      <c r="H394" s="98"/>
      <c r="I394" s="94"/>
      <c r="L394" s="59"/>
      <c r="M394" s="67"/>
      <c r="N394" s="61"/>
      <c r="O394" s="89"/>
      <c r="R394" s="59"/>
      <c r="S394" s="67"/>
      <c r="T394" s="61"/>
    </row>
    <row r="395" spans="2:20" x14ac:dyDescent="0.25">
      <c r="B395" s="105">
        <v>45700</v>
      </c>
      <c r="C395" s="121" t="s">
        <v>836</v>
      </c>
      <c r="D395" s="122" t="s">
        <v>862</v>
      </c>
      <c r="G395" s="96"/>
      <c r="H395" s="99"/>
      <c r="I395" s="94"/>
      <c r="L395" s="59"/>
      <c r="M395" s="63"/>
      <c r="N395" s="61"/>
      <c r="O395" s="89"/>
      <c r="R395" s="59"/>
      <c r="S395" s="63"/>
      <c r="T395" s="61"/>
    </row>
    <row r="396" spans="2:20" x14ac:dyDescent="0.25">
      <c r="B396" s="96"/>
      <c r="C396" s="99"/>
      <c r="D396" s="94"/>
      <c r="G396" s="96"/>
      <c r="H396" s="99"/>
      <c r="I396" s="94"/>
      <c r="L396" s="59"/>
      <c r="M396" s="65"/>
      <c r="N396" s="61"/>
      <c r="O396" s="89"/>
      <c r="R396" s="59"/>
      <c r="S396" s="65"/>
      <c r="T396" s="61"/>
    </row>
    <row r="397" spans="2:20" x14ac:dyDescent="0.25">
      <c r="B397" s="96"/>
      <c r="C397" s="99"/>
      <c r="D397" s="94"/>
      <c r="G397" s="96"/>
      <c r="H397" s="99"/>
      <c r="I397" s="94"/>
      <c r="L397" s="59"/>
      <c r="M397" s="63"/>
      <c r="N397" s="61"/>
      <c r="O397" s="89"/>
      <c r="R397" s="59"/>
      <c r="S397" s="63"/>
      <c r="T397" s="61"/>
    </row>
    <row r="398" spans="2:20" x14ac:dyDescent="0.25">
      <c r="B398" s="113" t="s">
        <v>381</v>
      </c>
      <c r="C398" s="110"/>
      <c r="D398" s="111" t="str">
        <f>VLOOKUP(C387,'BANCO DE DADOS'!$B$2:$D$260,3,FALSE)</f>
        <v>(34) 9 9102-4164</v>
      </c>
      <c r="G398" s="113" t="s">
        <v>381</v>
      </c>
      <c r="H398" s="110"/>
      <c r="I398" s="111" t="str">
        <f>VLOOKUP(H387,'BANCO DE DADOS'!$B$2:$D$260,3,FALSE)</f>
        <v>(34) 9 9838-9005</v>
      </c>
      <c r="L398" s="59"/>
      <c r="M398" s="63"/>
      <c r="N398" s="68"/>
      <c r="O398" s="89"/>
      <c r="R398" s="59"/>
      <c r="S398" s="63"/>
      <c r="T398" s="68"/>
    </row>
    <row r="399" spans="2:20" x14ac:dyDescent="0.25">
      <c r="B399" s="59"/>
      <c r="C399" s="63"/>
      <c r="D399" s="61"/>
      <c r="G399" s="59"/>
      <c r="H399" s="63"/>
      <c r="I399" s="61"/>
      <c r="L399" s="59"/>
      <c r="M399" s="63"/>
      <c r="N399" s="61"/>
      <c r="O399" s="89"/>
      <c r="R399" s="59"/>
      <c r="S399" s="63"/>
      <c r="T399" s="61"/>
    </row>
    <row r="400" spans="2:20" x14ac:dyDescent="0.25">
      <c r="B400" s="59"/>
      <c r="C400" s="63"/>
      <c r="D400" s="61"/>
      <c r="G400" s="59"/>
      <c r="H400" s="63"/>
      <c r="I400" s="61"/>
      <c r="L400" s="59"/>
      <c r="M400" s="63"/>
      <c r="N400" s="61"/>
      <c r="O400" s="89"/>
      <c r="R400" s="59"/>
      <c r="S400" s="63"/>
      <c r="T400" s="61"/>
    </row>
    <row r="401" spans="2:20" x14ac:dyDescent="0.25">
      <c r="B401" s="59"/>
      <c r="C401" s="66"/>
      <c r="D401" s="61"/>
      <c r="G401" s="59"/>
      <c r="H401" s="66"/>
      <c r="I401" s="61"/>
      <c r="L401" s="59"/>
      <c r="M401" s="66"/>
      <c r="N401" s="61"/>
      <c r="O401" s="89"/>
      <c r="R401" s="59"/>
      <c r="S401" s="66"/>
      <c r="T401" s="61"/>
    </row>
    <row r="402" spans="2:20" x14ac:dyDescent="0.25">
      <c r="B402" s="59"/>
      <c r="C402" s="63"/>
      <c r="D402" s="61"/>
      <c r="G402" s="59"/>
      <c r="H402" s="63"/>
      <c r="I402" s="61"/>
      <c r="L402" s="59"/>
      <c r="M402" s="63"/>
      <c r="N402" s="61"/>
      <c r="O402" s="89"/>
      <c r="R402" s="59"/>
      <c r="S402" s="63"/>
      <c r="T402" s="61"/>
    </row>
    <row r="403" spans="2:20" x14ac:dyDescent="0.25">
      <c r="B403" s="59"/>
      <c r="C403" s="63"/>
      <c r="D403" s="68"/>
      <c r="G403" s="59"/>
      <c r="H403" s="63"/>
      <c r="I403" s="68"/>
      <c r="L403" s="59"/>
      <c r="M403" s="63"/>
      <c r="N403" s="68"/>
      <c r="O403" s="89"/>
      <c r="R403" s="59"/>
      <c r="S403" s="63"/>
      <c r="T403" s="68"/>
    </row>
    <row r="404" spans="2:20" x14ac:dyDescent="0.25">
      <c r="B404" s="59"/>
      <c r="C404" s="63"/>
      <c r="D404" s="68"/>
      <c r="G404" s="59"/>
      <c r="H404" s="63"/>
      <c r="I404" s="68"/>
      <c r="L404" s="59"/>
      <c r="M404" s="63"/>
      <c r="N404" s="68"/>
      <c r="O404" s="89"/>
      <c r="R404" s="59"/>
      <c r="S404" s="63"/>
      <c r="T404" s="68"/>
    </row>
    <row r="405" spans="2:20" x14ac:dyDescent="0.25">
      <c r="B405" s="70"/>
      <c r="C405" s="71"/>
      <c r="D405" s="61"/>
      <c r="G405" s="70"/>
      <c r="H405" s="71"/>
      <c r="I405" s="61"/>
      <c r="L405" s="70"/>
      <c r="M405" s="71"/>
      <c r="N405" s="61"/>
      <c r="O405" s="89"/>
      <c r="R405" s="70"/>
      <c r="S405" s="71"/>
      <c r="T405" s="61"/>
    </row>
    <row r="406" spans="2:20" x14ac:dyDescent="0.25">
      <c r="B406" s="70"/>
      <c r="C406" s="60"/>
      <c r="D406" s="68"/>
      <c r="G406" s="70"/>
      <c r="H406" s="60"/>
      <c r="I406" s="68"/>
      <c r="L406" s="70"/>
      <c r="M406" s="60"/>
      <c r="N406" s="68"/>
      <c r="O406" s="89"/>
      <c r="R406" s="70"/>
      <c r="S406" s="60"/>
      <c r="T406" s="68"/>
    </row>
    <row r="407" spans="2:20" x14ac:dyDescent="0.25">
      <c r="B407" s="70"/>
      <c r="C407" s="38"/>
      <c r="D407" s="68"/>
      <c r="G407" s="70"/>
      <c r="H407" s="38"/>
      <c r="I407" s="68"/>
      <c r="L407" s="70"/>
      <c r="M407" s="38"/>
      <c r="N407" s="68"/>
      <c r="O407" s="89"/>
      <c r="R407" s="70"/>
      <c r="S407" s="38"/>
      <c r="T407" s="68"/>
    </row>
    <row r="408" spans="2:20" ht="15.75" customHeight="1" x14ac:dyDescent="0.25">
      <c r="B408" s="72"/>
      <c r="C408" s="73"/>
      <c r="D408" s="74"/>
      <c r="G408" s="72"/>
      <c r="H408" s="73"/>
      <c r="I408" s="74"/>
      <c r="L408" s="72"/>
      <c r="M408" s="73"/>
      <c r="N408" s="74"/>
      <c r="O408" s="89"/>
      <c r="R408" s="72"/>
      <c r="S408" s="73"/>
      <c r="T408" s="74"/>
    </row>
    <row r="409" spans="2:20" x14ac:dyDescent="0.25">
      <c r="B409" s="90"/>
      <c r="C409" s="91"/>
      <c r="D409" s="93"/>
      <c r="G409" s="90"/>
      <c r="H409" s="91"/>
      <c r="I409" s="93"/>
      <c r="L409" s="90"/>
      <c r="M409" s="91"/>
      <c r="N409" s="93"/>
      <c r="O409" s="89"/>
      <c r="R409" s="90"/>
      <c r="S409" s="91"/>
      <c r="T409" s="93"/>
    </row>
    <row r="410" spans="2:20" s="89" customFormat="1" x14ac:dyDescent="0.25">
      <c r="B410" s="90"/>
      <c r="C410" s="91"/>
      <c r="D410" s="81"/>
      <c r="G410" s="90"/>
      <c r="H410" s="91"/>
      <c r="I410" s="81"/>
      <c r="L410" s="90"/>
      <c r="M410" s="91"/>
      <c r="N410" s="81"/>
      <c r="R410" s="90"/>
      <c r="S410" s="91"/>
      <c r="T410" s="81"/>
    </row>
    <row r="411" spans="2:20" s="89" customFormat="1" x14ac:dyDescent="0.25"/>
    <row r="412" spans="2:20" x14ac:dyDescent="0.25">
      <c r="B412" s="134" t="s">
        <v>968</v>
      </c>
      <c r="C412" s="134"/>
      <c r="D412" s="134"/>
      <c r="G412" s="134" t="s">
        <v>968</v>
      </c>
      <c r="H412" s="134"/>
      <c r="I412" s="134"/>
      <c r="L412" s="134" t="s">
        <v>968</v>
      </c>
      <c r="M412" s="134"/>
      <c r="N412" s="134"/>
      <c r="O412" s="89"/>
      <c r="R412" s="134" t="s">
        <v>968</v>
      </c>
      <c r="S412" s="134"/>
      <c r="T412" s="134"/>
    </row>
    <row r="413" spans="2:20" ht="15" customHeight="1" x14ac:dyDescent="0.25">
      <c r="B413" s="134"/>
      <c r="C413" s="134"/>
      <c r="D413" s="134"/>
      <c r="G413" s="134"/>
      <c r="H413" s="134"/>
      <c r="I413" s="134"/>
      <c r="L413" s="134"/>
      <c r="M413" s="134"/>
      <c r="N413" s="134"/>
      <c r="O413" s="89"/>
      <c r="R413" s="134"/>
      <c r="S413" s="134"/>
      <c r="T413" s="134"/>
    </row>
    <row r="414" spans="2:20" ht="15" customHeight="1" x14ac:dyDescent="0.25">
      <c r="B414" s="134"/>
      <c r="C414" s="134"/>
      <c r="D414" s="134"/>
      <c r="G414" s="134"/>
      <c r="H414" s="134"/>
      <c r="I414" s="134"/>
      <c r="L414" s="134"/>
      <c r="M414" s="134"/>
      <c r="N414" s="134"/>
      <c r="O414" s="89"/>
      <c r="R414" s="134"/>
      <c r="S414" s="134"/>
      <c r="T414" s="134"/>
    </row>
    <row r="415" spans="2:20" ht="15" customHeight="1" x14ac:dyDescent="0.25">
      <c r="B415" s="134"/>
      <c r="C415" s="134"/>
      <c r="D415" s="134"/>
      <c r="G415" s="134"/>
      <c r="H415" s="134"/>
      <c r="I415" s="134"/>
      <c r="L415" s="134"/>
      <c r="M415" s="134"/>
      <c r="N415" s="134"/>
      <c r="O415" s="89"/>
      <c r="R415" s="134"/>
      <c r="S415" s="134"/>
      <c r="T415" s="134"/>
    </row>
    <row r="416" spans="2:20" ht="15" customHeight="1" x14ac:dyDescent="0.25">
      <c r="B416" s="134"/>
      <c r="C416" s="134"/>
      <c r="D416" s="134"/>
      <c r="G416" s="134"/>
      <c r="H416" s="134"/>
      <c r="I416" s="134"/>
      <c r="L416" s="134"/>
      <c r="M416" s="134"/>
      <c r="N416" s="134"/>
      <c r="O416" s="89"/>
      <c r="R416" s="134"/>
      <c r="S416" s="134"/>
      <c r="T416" s="134"/>
    </row>
    <row r="417" spans="2:20" ht="59.25" customHeight="1" x14ac:dyDescent="0.25">
      <c r="B417" s="134"/>
      <c r="C417" s="134"/>
      <c r="D417" s="134"/>
      <c r="G417" s="134"/>
      <c r="H417" s="134"/>
      <c r="I417" s="134"/>
      <c r="L417" s="134"/>
      <c r="M417" s="134"/>
      <c r="N417" s="134"/>
      <c r="O417" s="89"/>
      <c r="R417" s="134"/>
      <c r="S417" s="134"/>
      <c r="T417" s="134"/>
    </row>
    <row r="418" spans="2:20" ht="15" customHeight="1" x14ac:dyDescent="0.25">
      <c r="B418" s="85"/>
      <c r="C418" s="84"/>
      <c r="D418" s="83"/>
      <c r="G418" s="85"/>
      <c r="H418" s="84"/>
      <c r="I418" s="83"/>
      <c r="L418" s="85"/>
      <c r="M418" s="84"/>
      <c r="N418" s="83"/>
      <c r="O418" s="89"/>
      <c r="R418" s="85"/>
      <c r="S418" s="84"/>
      <c r="T418" s="83"/>
    </row>
    <row r="419" spans="2:20" ht="27" x14ac:dyDescent="0.25">
      <c r="B419" s="87">
        <v>1</v>
      </c>
      <c r="C419" s="88" t="str">
        <f>C435</f>
        <v>CANDIDO SALES - 198</v>
      </c>
      <c r="D419" s="86"/>
      <c r="G419" s="87">
        <v>1</v>
      </c>
      <c r="H419" s="88" t="str">
        <f t="shared" ref="H419:H424" si="46">H435</f>
        <v>NOVA VENECIA - 370</v>
      </c>
      <c r="I419" s="86"/>
      <c r="L419" s="87">
        <v>1</v>
      </c>
      <c r="M419" s="88">
        <f t="shared" ref="M419:M429" si="47">M435</f>
        <v>0</v>
      </c>
      <c r="N419" s="86"/>
      <c r="O419" s="89"/>
      <c r="R419" s="87">
        <v>1</v>
      </c>
      <c r="S419" s="88">
        <f t="shared" ref="S419:S429" si="48">S435</f>
        <v>0</v>
      </c>
      <c r="T419" s="86"/>
    </row>
    <row r="420" spans="2:20" ht="27" x14ac:dyDescent="0.25">
      <c r="B420" s="87">
        <f>B419+1</f>
        <v>2</v>
      </c>
      <c r="C420" s="88" t="str">
        <f>C436</f>
        <v>ALMOÇO</v>
      </c>
      <c r="D420" s="86"/>
      <c r="G420" s="87">
        <f>G419+1</f>
        <v>2</v>
      </c>
      <c r="H420" s="88" t="str">
        <f t="shared" si="46"/>
        <v>BOA ESPERANCA - 451</v>
      </c>
      <c r="I420" s="86"/>
      <c r="L420" s="87">
        <f t="shared" ref="L420:L429" si="49">L419+1</f>
        <v>2</v>
      </c>
      <c r="M420" s="88">
        <f t="shared" si="47"/>
        <v>0</v>
      </c>
      <c r="N420" s="86"/>
      <c r="O420" s="89"/>
      <c r="R420" s="87">
        <f t="shared" ref="R420:R429" si="50">R419+1</f>
        <v>2</v>
      </c>
      <c r="S420" s="88">
        <f t="shared" si="48"/>
        <v>0</v>
      </c>
      <c r="T420" s="86"/>
    </row>
    <row r="421" spans="2:20" ht="27" x14ac:dyDescent="0.25">
      <c r="B421" s="87">
        <f>B420+1</f>
        <v>3</v>
      </c>
      <c r="C421" s="88" t="str">
        <f>C437</f>
        <v>BELO CAMPO - 471</v>
      </c>
      <c r="D421" s="86"/>
      <c r="G421" s="87">
        <f>G420+1</f>
        <v>3</v>
      </c>
      <c r="H421" s="88" t="str">
        <f t="shared" si="46"/>
        <v>ALMOÇO</v>
      </c>
      <c r="I421" s="86"/>
      <c r="L421" s="87">
        <f t="shared" si="49"/>
        <v>3</v>
      </c>
      <c r="M421" s="88">
        <f t="shared" si="47"/>
        <v>0</v>
      </c>
      <c r="N421" s="86"/>
      <c r="O421" s="89"/>
      <c r="R421" s="87">
        <f t="shared" si="50"/>
        <v>3</v>
      </c>
      <c r="S421" s="88">
        <f t="shared" si="48"/>
        <v>0</v>
      </c>
      <c r="T421" s="86"/>
    </row>
    <row r="422" spans="2:20" ht="27" x14ac:dyDescent="0.25">
      <c r="B422" s="87">
        <f>B421+1</f>
        <v>4</v>
      </c>
      <c r="C422" s="88" t="str">
        <f>C438</f>
        <v>CONDEUBA - 361</v>
      </c>
      <c r="D422" s="86"/>
      <c r="G422" s="87">
        <f>G421+1</f>
        <v>4</v>
      </c>
      <c r="H422" s="88" t="str">
        <f t="shared" si="46"/>
        <v>PEDRO CANARIO - 423</v>
      </c>
      <c r="I422" s="86"/>
      <c r="L422" s="87">
        <f t="shared" si="49"/>
        <v>4</v>
      </c>
      <c r="M422" s="88">
        <f t="shared" si="47"/>
        <v>0</v>
      </c>
      <c r="N422" s="86"/>
      <c r="O422" s="89"/>
      <c r="R422" s="87">
        <f t="shared" si="50"/>
        <v>4</v>
      </c>
      <c r="S422" s="88">
        <f t="shared" si="48"/>
        <v>0</v>
      </c>
      <c r="T422" s="86"/>
    </row>
    <row r="423" spans="2:20" ht="27" x14ac:dyDescent="0.25">
      <c r="B423" s="87"/>
      <c r="C423" s="88"/>
      <c r="D423" s="86"/>
      <c r="G423" s="87">
        <f>G422+1</f>
        <v>5</v>
      </c>
      <c r="H423" s="88" t="str">
        <f t="shared" si="46"/>
        <v>MONTANHA - 464</v>
      </c>
      <c r="I423" s="86"/>
      <c r="L423" s="87">
        <f t="shared" si="49"/>
        <v>5</v>
      </c>
      <c r="M423" s="88">
        <f t="shared" si="47"/>
        <v>0</v>
      </c>
      <c r="N423" s="86"/>
      <c r="O423" s="89"/>
      <c r="R423" s="87">
        <f t="shared" si="50"/>
        <v>5</v>
      </c>
      <c r="S423" s="88">
        <f t="shared" si="48"/>
        <v>0</v>
      </c>
      <c r="T423" s="86"/>
    </row>
    <row r="424" spans="2:20" ht="27" x14ac:dyDescent="0.25">
      <c r="B424" s="87"/>
      <c r="C424" s="88"/>
      <c r="D424" s="86"/>
      <c r="G424" s="87">
        <f>G423+1</f>
        <v>6</v>
      </c>
      <c r="H424" s="88" t="str">
        <f t="shared" si="46"/>
        <v>RESPLENDOR - 188</v>
      </c>
      <c r="I424" s="86"/>
      <c r="L424" s="87">
        <f t="shared" si="49"/>
        <v>6</v>
      </c>
      <c r="M424" s="88">
        <f t="shared" si="47"/>
        <v>0</v>
      </c>
      <c r="N424" s="86"/>
      <c r="O424" s="89"/>
      <c r="R424" s="87">
        <f t="shared" si="50"/>
        <v>6</v>
      </c>
      <c r="S424" s="88">
        <f t="shared" si="48"/>
        <v>0</v>
      </c>
      <c r="T424" s="86"/>
    </row>
    <row r="425" spans="2:20" ht="27" x14ac:dyDescent="0.25">
      <c r="B425" s="87"/>
      <c r="C425" s="88"/>
      <c r="D425" s="86"/>
      <c r="G425" s="87"/>
      <c r="H425" s="88"/>
      <c r="I425" s="86"/>
      <c r="L425" s="87">
        <f t="shared" si="49"/>
        <v>7</v>
      </c>
      <c r="M425" s="88">
        <f t="shared" si="47"/>
        <v>0</v>
      </c>
      <c r="N425" s="86"/>
      <c r="O425" s="89"/>
      <c r="R425" s="87">
        <f t="shared" si="50"/>
        <v>7</v>
      </c>
      <c r="S425" s="88">
        <f t="shared" si="48"/>
        <v>0</v>
      </c>
      <c r="T425" s="86"/>
    </row>
    <row r="426" spans="2:20" ht="27" x14ac:dyDescent="0.25">
      <c r="B426" s="87"/>
      <c r="C426" s="88"/>
      <c r="D426" s="86"/>
      <c r="G426" s="87"/>
      <c r="H426" s="88"/>
      <c r="I426" s="86"/>
      <c r="L426" s="87">
        <f t="shared" si="49"/>
        <v>8</v>
      </c>
      <c r="M426" s="88">
        <f t="shared" si="47"/>
        <v>0</v>
      </c>
      <c r="N426" s="86"/>
      <c r="O426" s="89"/>
      <c r="R426" s="87">
        <f t="shared" si="50"/>
        <v>8</v>
      </c>
      <c r="S426" s="88">
        <f t="shared" si="48"/>
        <v>0</v>
      </c>
      <c r="T426" s="86"/>
    </row>
    <row r="427" spans="2:20" ht="27" x14ac:dyDescent="0.25">
      <c r="B427" s="87"/>
      <c r="C427" s="88"/>
      <c r="D427" s="82"/>
      <c r="G427" s="87"/>
      <c r="H427" s="88"/>
      <c r="I427" s="82"/>
      <c r="L427" s="87">
        <f t="shared" si="49"/>
        <v>9</v>
      </c>
      <c r="M427" s="88">
        <f t="shared" si="47"/>
        <v>0</v>
      </c>
      <c r="N427" s="82"/>
      <c r="O427" s="89"/>
      <c r="R427" s="87">
        <f t="shared" si="50"/>
        <v>9</v>
      </c>
      <c r="S427" s="88">
        <f t="shared" si="48"/>
        <v>0</v>
      </c>
      <c r="T427" s="82"/>
    </row>
    <row r="428" spans="2:20" ht="27" x14ac:dyDescent="0.25">
      <c r="B428" s="87"/>
      <c r="C428" s="88"/>
      <c r="D428" s="82"/>
      <c r="G428" s="87"/>
      <c r="H428" s="88"/>
      <c r="I428" s="82"/>
      <c r="L428" s="87">
        <f t="shared" si="49"/>
        <v>10</v>
      </c>
      <c r="M428" s="88">
        <f t="shared" si="47"/>
        <v>0</v>
      </c>
      <c r="N428" s="82"/>
      <c r="O428" s="89"/>
      <c r="R428" s="87">
        <f t="shared" si="50"/>
        <v>10</v>
      </c>
      <c r="S428" s="88">
        <f t="shared" si="48"/>
        <v>0</v>
      </c>
      <c r="T428" s="82"/>
    </row>
    <row r="429" spans="2:20" s="89" customFormat="1" ht="27" x14ac:dyDescent="0.25">
      <c r="B429" s="87"/>
      <c r="C429" s="88"/>
      <c r="D429" s="92"/>
      <c r="G429" s="87"/>
      <c r="H429" s="88"/>
      <c r="I429" s="92"/>
      <c r="L429" s="87">
        <f t="shared" si="49"/>
        <v>11</v>
      </c>
      <c r="M429" s="88">
        <f t="shared" si="47"/>
        <v>0</v>
      </c>
      <c r="N429" s="92"/>
      <c r="R429" s="87">
        <f t="shared" si="50"/>
        <v>11</v>
      </c>
      <c r="S429" s="88">
        <f t="shared" si="48"/>
        <v>0</v>
      </c>
      <c r="T429" s="92"/>
    </row>
    <row r="430" spans="2:20" s="89" customFormat="1" ht="15.75" customHeight="1" x14ac:dyDescent="0.25"/>
    <row r="431" spans="2:20" ht="15.75" customHeight="1" x14ac:dyDescent="0.25">
      <c r="B431" s="89"/>
      <c r="C431" s="89"/>
      <c r="D431" s="89"/>
      <c r="G431" s="89"/>
      <c r="H431" s="89"/>
      <c r="I431" s="89"/>
      <c r="M431" s="89"/>
      <c r="N431" s="89"/>
      <c r="O431" s="89"/>
      <c r="R431" s="89"/>
      <c r="S431" s="89"/>
      <c r="T431" s="89"/>
    </row>
    <row r="432" spans="2:20" ht="19.5" customHeight="1" x14ac:dyDescent="0.25">
      <c r="B432" s="131" t="s">
        <v>834</v>
      </c>
      <c r="C432" s="132"/>
      <c r="D432" s="133"/>
      <c r="G432" s="131" t="s">
        <v>834</v>
      </c>
      <c r="H432" s="132"/>
      <c r="I432" s="133"/>
      <c r="L432" s="131" t="s">
        <v>834</v>
      </c>
      <c r="M432" s="132"/>
      <c r="N432" s="133"/>
      <c r="O432" s="89"/>
      <c r="R432" s="131" t="s">
        <v>834</v>
      </c>
      <c r="S432" s="132"/>
      <c r="T432" s="133"/>
    </row>
    <row r="433" spans="2:20" x14ac:dyDescent="0.25">
      <c r="B433" s="112" t="s">
        <v>933</v>
      </c>
      <c r="C433" s="103" t="s">
        <v>814</v>
      </c>
      <c r="D433" s="104" t="s">
        <v>866</v>
      </c>
      <c r="G433" s="112" t="s">
        <v>856</v>
      </c>
      <c r="H433" s="103" t="s">
        <v>593</v>
      </c>
      <c r="I433" s="114" t="s">
        <v>865</v>
      </c>
      <c r="L433" s="55"/>
      <c r="M433" s="56"/>
      <c r="N433" s="57"/>
      <c r="O433" s="89"/>
      <c r="R433" s="55"/>
      <c r="S433" s="56"/>
      <c r="T433" s="57"/>
    </row>
    <row r="434" spans="2:20" x14ac:dyDescent="0.25">
      <c r="B434" s="116"/>
      <c r="C434" s="97"/>
      <c r="D434" s="97"/>
      <c r="G434" s="116"/>
      <c r="H434" s="97"/>
      <c r="I434" s="97"/>
      <c r="L434" s="59"/>
      <c r="M434" s="60"/>
      <c r="N434" s="61"/>
      <c r="O434" s="89"/>
      <c r="R434" s="59"/>
      <c r="S434" s="60"/>
      <c r="T434" s="61"/>
    </row>
    <row r="435" spans="2:20" x14ac:dyDescent="0.25">
      <c r="B435" s="95">
        <v>45698</v>
      </c>
      <c r="C435" s="101" t="s">
        <v>934</v>
      </c>
      <c r="D435" s="94">
        <v>0.33333333333333331</v>
      </c>
      <c r="G435" s="95">
        <v>45698</v>
      </c>
      <c r="H435" s="101" t="s">
        <v>963</v>
      </c>
      <c r="I435" s="94">
        <v>0.33333333333333331</v>
      </c>
      <c r="L435" s="59"/>
      <c r="M435" s="63"/>
      <c r="N435" s="61"/>
      <c r="O435" s="89"/>
      <c r="R435" s="59"/>
      <c r="S435" s="63"/>
      <c r="T435" s="61"/>
    </row>
    <row r="436" spans="2:20" x14ac:dyDescent="0.25">
      <c r="B436" s="95">
        <v>45698</v>
      </c>
      <c r="C436" s="119" t="s">
        <v>835</v>
      </c>
      <c r="D436" s="120" t="s">
        <v>845</v>
      </c>
      <c r="G436" s="95">
        <v>45698</v>
      </c>
      <c r="H436" s="101" t="s">
        <v>964</v>
      </c>
      <c r="I436" s="94">
        <v>0.41666666666666669</v>
      </c>
      <c r="L436" s="59"/>
      <c r="M436" s="64"/>
      <c r="N436" s="61"/>
      <c r="O436" s="89"/>
      <c r="R436" s="59"/>
      <c r="S436" s="64"/>
      <c r="T436" s="61"/>
    </row>
    <row r="437" spans="2:20" x14ac:dyDescent="0.25">
      <c r="B437" s="95">
        <v>45698</v>
      </c>
      <c r="C437" s="100" t="s">
        <v>935</v>
      </c>
      <c r="D437" s="94">
        <v>0.52083333333333337</v>
      </c>
      <c r="G437" s="95">
        <v>45698</v>
      </c>
      <c r="H437" s="119" t="s">
        <v>835</v>
      </c>
      <c r="I437" s="120" t="s">
        <v>841</v>
      </c>
      <c r="L437" s="59"/>
      <c r="M437" s="65"/>
      <c r="N437" s="61"/>
      <c r="O437" s="89"/>
      <c r="R437" s="59"/>
      <c r="S437" s="65"/>
      <c r="T437" s="61"/>
    </row>
    <row r="438" spans="2:20" x14ac:dyDescent="0.25">
      <c r="B438" s="95">
        <v>45698</v>
      </c>
      <c r="C438" s="100" t="s">
        <v>936</v>
      </c>
      <c r="D438" s="94">
        <v>0.66666666666666663</v>
      </c>
      <c r="G438" s="95">
        <v>45698</v>
      </c>
      <c r="H438" s="100" t="s">
        <v>965</v>
      </c>
      <c r="I438" s="94">
        <v>0.54166666666666663</v>
      </c>
      <c r="L438" s="59"/>
      <c r="M438" s="66"/>
      <c r="N438" s="61"/>
      <c r="O438" s="89"/>
      <c r="R438" s="59"/>
      <c r="S438" s="66"/>
      <c r="T438" s="61"/>
    </row>
    <row r="439" spans="2:20" x14ac:dyDescent="0.25">
      <c r="B439" s="96"/>
      <c r="C439" s="98"/>
      <c r="D439" s="94"/>
      <c r="G439" s="95">
        <v>45698</v>
      </c>
      <c r="H439" s="100" t="s">
        <v>966</v>
      </c>
      <c r="I439" s="94">
        <v>0.64583333333333337</v>
      </c>
      <c r="L439" s="59"/>
      <c r="M439" s="65"/>
      <c r="N439" s="61"/>
      <c r="O439" s="89"/>
      <c r="R439" s="59"/>
      <c r="S439" s="65"/>
      <c r="T439" s="61"/>
    </row>
    <row r="440" spans="2:20" x14ac:dyDescent="0.25">
      <c r="B440" s="96"/>
      <c r="C440" s="98"/>
      <c r="D440" s="94"/>
      <c r="G440" s="102">
        <v>45699</v>
      </c>
      <c r="H440" s="100" t="s">
        <v>967</v>
      </c>
      <c r="I440" s="94">
        <v>0.33333333333333331</v>
      </c>
      <c r="L440" s="59"/>
      <c r="M440" s="67"/>
      <c r="N440" s="61"/>
      <c r="O440" s="89"/>
      <c r="R440" s="59"/>
      <c r="S440" s="67"/>
      <c r="T440" s="61"/>
    </row>
    <row r="441" spans="2:20" x14ac:dyDescent="0.25">
      <c r="B441" s="96"/>
      <c r="C441" s="99"/>
      <c r="D441" s="94"/>
      <c r="G441" s="96"/>
      <c r="H441" s="99"/>
      <c r="I441" s="94"/>
      <c r="L441" s="59"/>
      <c r="M441" s="63"/>
      <c r="N441" s="61"/>
      <c r="O441" s="89"/>
      <c r="R441" s="59"/>
      <c r="S441" s="63"/>
      <c r="T441" s="61"/>
    </row>
    <row r="442" spans="2:20" x14ac:dyDescent="0.25">
      <c r="B442" s="96"/>
      <c r="C442" s="99"/>
      <c r="D442" s="94"/>
      <c r="G442" s="96"/>
      <c r="H442" s="99"/>
      <c r="I442" s="94"/>
      <c r="L442" s="59"/>
      <c r="M442" s="65"/>
      <c r="N442" s="61"/>
      <c r="O442" s="89"/>
      <c r="R442" s="59"/>
      <c r="S442" s="65"/>
      <c r="T442" s="61"/>
    </row>
    <row r="443" spans="2:20" x14ac:dyDescent="0.25">
      <c r="B443" s="96"/>
      <c r="C443" s="99"/>
      <c r="D443" s="94"/>
      <c r="G443" s="96"/>
      <c r="H443" s="99"/>
      <c r="I443" s="94"/>
      <c r="L443" s="59"/>
      <c r="M443" s="63"/>
      <c r="N443" s="61"/>
      <c r="O443" s="89"/>
      <c r="R443" s="59"/>
      <c r="S443" s="63"/>
      <c r="T443" s="61"/>
    </row>
    <row r="444" spans="2:20" x14ac:dyDescent="0.25">
      <c r="B444" s="113" t="s">
        <v>381</v>
      </c>
      <c r="C444" s="110"/>
      <c r="D444" s="111" t="str">
        <f>VLOOKUP(C433,'BANCO DE DADOS'!$B$2:$D$260,3,FALSE)</f>
        <v>(34) 9 9224-2785</v>
      </c>
      <c r="G444" s="113" t="s">
        <v>381</v>
      </c>
      <c r="H444" s="110"/>
      <c r="I444" s="111" t="str">
        <f>VLOOKUP(H433,'BANCO DE DADOS'!$B$2:$D$260,3,FALSE)</f>
        <v>(34) 9 9828-5878</v>
      </c>
      <c r="L444" s="59"/>
      <c r="M444" s="63"/>
      <c r="N444" s="68"/>
      <c r="O444" s="89"/>
      <c r="R444" s="59"/>
      <c r="S444" s="63"/>
      <c r="T444" s="68"/>
    </row>
    <row r="445" spans="2:20" x14ac:dyDescent="0.25">
      <c r="B445" s="59"/>
      <c r="C445" s="63"/>
      <c r="D445" s="61"/>
      <c r="G445" s="59"/>
      <c r="H445" s="63"/>
      <c r="I445" s="61"/>
      <c r="L445" s="59"/>
      <c r="M445" s="63"/>
      <c r="N445" s="61"/>
      <c r="O445" s="89"/>
      <c r="R445" s="59"/>
      <c r="S445" s="63"/>
      <c r="T445" s="61"/>
    </row>
    <row r="446" spans="2:20" x14ac:dyDescent="0.25">
      <c r="B446" s="59"/>
      <c r="C446" s="63"/>
      <c r="D446" s="61"/>
      <c r="G446" s="59"/>
      <c r="H446" s="63"/>
      <c r="I446" s="61"/>
      <c r="L446" s="59"/>
      <c r="M446" s="63"/>
      <c r="N446" s="61"/>
      <c r="O446" s="89"/>
      <c r="R446" s="59"/>
      <c r="S446" s="63"/>
      <c r="T446" s="61"/>
    </row>
    <row r="447" spans="2:20" x14ac:dyDescent="0.25">
      <c r="B447" s="59"/>
      <c r="C447" s="66"/>
      <c r="D447" s="61"/>
      <c r="G447" s="59"/>
      <c r="H447" s="66"/>
      <c r="I447" s="61"/>
      <c r="L447" s="59"/>
      <c r="M447" s="66"/>
      <c r="N447" s="61"/>
      <c r="O447" s="89"/>
      <c r="R447" s="59"/>
      <c r="S447" s="66"/>
      <c r="T447" s="61"/>
    </row>
    <row r="448" spans="2:20" x14ac:dyDescent="0.25">
      <c r="B448" s="59"/>
      <c r="C448" s="63"/>
      <c r="D448" s="61"/>
      <c r="G448" s="59"/>
      <c r="H448" s="63"/>
      <c r="I448" s="61"/>
      <c r="L448" s="59"/>
      <c r="M448" s="63"/>
      <c r="N448" s="61"/>
      <c r="O448" s="89"/>
      <c r="R448" s="59"/>
      <c r="S448" s="63"/>
      <c r="T448" s="61"/>
    </row>
    <row r="449" spans="2:20" x14ac:dyDescent="0.25">
      <c r="B449" s="59"/>
      <c r="C449" s="63"/>
      <c r="D449" s="68"/>
      <c r="G449" s="59"/>
      <c r="H449" s="63"/>
      <c r="I449" s="68"/>
      <c r="L449" s="59"/>
      <c r="M449" s="63"/>
      <c r="N449" s="68"/>
      <c r="O449" s="89"/>
      <c r="R449" s="59"/>
      <c r="S449" s="63"/>
      <c r="T449" s="68"/>
    </row>
    <row r="450" spans="2:20" x14ac:dyDescent="0.25">
      <c r="B450" s="59"/>
      <c r="C450" s="63"/>
      <c r="D450" s="68"/>
      <c r="G450" s="59"/>
      <c r="H450" s="63"/>
      <c r="I450" s="68"/>
      <c r="L450" s="59"/>
      <c r="M450" s="63"/>
      <c r="N450" s="68"/>
      <c r="O450" s="89"/>
      <c r="R450" s="59"/>
      <c r="S450" s="63"/>
      <c r="T450" s="68"/>
    </row>
    <row r="451" spans="2:20" x14ac:dyDescent="0.25">
      <c r="B451" s="70"/>
      <c r="C451" s="71"/>
      <c r="D451" s="61"/>
      <c r="G451" s="70"/>
      <c r="H451" s="71"/>
      <c r="I451" s="61"/>
      <c r="L451" s="70"/>
      <c r="M451" s="71"/>
      <c r="N451" s="61"/>
      <c r="O451" s="89"/>
      <c r="R451" s="70"/>
      <c r="S451" s="71"/>
      <c r="T451" s="61"/>
    </row>
    <row r="452" spans="2:20" x14ac:dyDescent="0.25">
      <c r="B452" s="70"/>
      <c r="C452" s="60"/>
      <c r="D452" s="68"/>
      <c r="G452" s="70"/>
      <c r="H452" s="60"/>
      <c r="I452" s="68"/>
      <c r="L452" s="70"/>
      <c r="M452" s="60"/>
      <c r="N452" s="68"/>
      <c r="O452" s="89"/>
      <c r="R452" s="70"/>
      <c r="S452" s="60"/>
      <c r="T452" s="68"/>
    </row>
    <row r="453" spans="2:20" x14ac:dyDescent="0.25">
      <c r="B453" s="70"/>
      <c r="C453" s="38"/>
      <c r="D453" s="68"/>
      <c r="G453" s="70"/>
      <c r="H453" s="38"/>
      <c r="I453" s="68"/>
      <c r="L453" s="70"/>
      <c r="M453" s="38"/>
      <c r="N453" s="68"/>
      <c r="O453" s="89"/>
      <c r="R453" s="70"/>
      <c r="S453" s="38"/>
      <c r="T453" s="68"/>
    </row>
    <row r="454" spans="2:20" s="89" customFormat="1" ht="15.75" customHeight="1" x14ac:dyDescent="0.25">
      <c r="B454" s="72"/>
      <c r="C454" s="73"/>
      <c r="D454" s="74"/>
      <c r="G454" s="72"/>
      <c r="H454" s="73"/>
      <c r="I454" s="74"/>
      <c r="L454" s="72"/>
      <c r="M454" s="73"/>
      <c r="N454" s="74"/>
      <c r="R454" s="72"/>
      <c r="S454" s="73"/>
      <c r="T454" s="74"/>
    </row>
    <row r="455" spans="2:20" s="89" customFormat="1" x14ac:dyDescent="0.25"/>
    <row r="456" spans="2:20" s="89" customFormat="1" x14ac:dyDescent="0.25"/>
    <row r="457" spans="2:20" s="89" customFormat="1" x14ac:dyDescent="0.25"/>
    <row r="458" spans="2:20" s="89" customFormat="1" x14ac:dyDescent="0.25"/>
    <row r="459" spans="2:20" s="89" customFormat="1" x14ac:dyDescent="0.25"/>
    <row r="460" spans="2:20" s="89" customFormat="1" x14ac:dyDescent="0.25"/>
    <row r="461" spans="2:20" s="89" customFormat="1" x14ac:dyDescent="0.25"/>
    <row r="462" spans="2:20" s="89" customFormat="1" x14ac:dyDescent="0.25"/>
    <row r="463" spans="2:20" s="89" customFormat="1" x14ac:dyDescent="0.25"/>
    <row r="464" spans="2:20" s="89" customFormat="1" x14ac:dyDescent="0.25"/>
    <row r="465" s="89" customFormat="1" x14ac:dyDescent="0.25"/>
    <row r="466" s="89" customFormat="1" x14ac:dyDescent="0.25"/>
    <row r="467" s="89" customFormat="1" x14ac:dyDescent="0.25"/>
    <row r="468" s="89" customFormat="1" x14ac:dyDescent="0.25"/>
    <row r="469" s="89" customFormat="1" x14ac:dyDescent="0.25"/>
    <row r="470" s="89" customFormat="1" x14ac:dyDescent="0.25"/>
    <row r="471" s="89" customFormat="1" x14ac:dyDescent="0.25"/>
    <row r="472" s="89" customFormat="1" x14ac:dyDescent="0.25"/>
    <row r="473" s="89" customFormat="1" x14ac:dyDescent="0.25"/>
    <row r="474" s="89" customFormat="1" x14ac:dyDescent="0.25"/>
    <row r="475" s="89" customFormat="1" x14ac:dyDescent="0.25"/>
    <row r="476" s="89" customFormat="1" x14ac:dyDescent="0.25"/>
    <row r="477" s="89" customFormat="1" x14ac:dyDescent="0.25"/>
    <row r="478" s="89" customFormat="1" x14ac:dyDescent="0.25"/>
    <row r="479" s="89" customFormat="1" x14ac:dyDescent="0.25"/>
    <row r="480" s="89" customFormat="1" x14ac:dyDescent="0.25"/>
    <row r="481" s="89" customFormat="1" x14ac:dyDescent="0.25"/>
    <row r="482" s="89" customFormat="1" x14ac:dyDescent="0.25"/>
    <row r="483" s="89" customFormat="1" x14ac:dyDescent="0.25"/>
    <row r="484" s="89" customFormat="1" x14ac:dyDescent="0.25"/>
    <row r="485" s="89" customFormat="1" x14ac:dyDescent="0.25"/>
    <row r="486" s="89" customFormat="1" x14ac:dyDescent="0.25"/>
    <row r="487" s="89" customFormat="1" x14ac:dyDescent="0.25"/>
    <row r="488" s="89" customFormat="1" x14ac:dyDescent="0.25"/>
    <row r="489" s="89" customFormat="1" x14ac:dyDescent="0.25"/>
    <row r="490" s="89" customFormat="1" x14ac:dyDescent="0.25"/>
    <row r="491" s="89" customFormat="1" x14ac:dyDescent="0.25"/>
    <row r="492" s="89" customFormat="1" x14ac:dyDescent="0.25"/>
    <row r="493" s="89" customFormat="1" x14ac:dyDescent="0.25"/>
    <row r="494" s="89" customFormat="1" x14ac:dyDescent="0.25"/>
    <row r="495" s="89" customFormat="1" x14ac:dyDescent="0.25"/>
    <row r="496" s="89" customFormat="1" x14ac:dyDescent="0.25"/>
    <row r="497" s="89" customFormat="1" x14ac:dyDescent="0.25"/>
    <row r="498" s="89" customFormat="1" x14ac:dyDescent="0.25"/>
    <row r="499" s="89" customFormat="1" x14ac:dyDescent="0.25"/>
    <row r="500" s="89" customFormat="1" x14ac:dyDescent="0.25"/>
    <row r="501" s="89" customFormat="1" x14ac:dyDescent="0.25"/>
    <row r="502" s="89" customFormat="1" x14ac:dyDescent="0.25"/>
    <row r="503" s="89" customFormat="1" x14ac:dyDescent="0.25"/>
    <row r="504" s="89" customFormat="1" x14ac:dyDescent="0.25"/>
    <row r="505" s="89" customFormat="1" x14ac:dyDescent="0.25"/>
    <row r="506" s="89" customFormat="1" x14ac:dyDescent="0.25"/>
    <row r="507" s="89" customFormat="1" x14ac:dyDescent="0.25"/>
    <row r="508" s="89" customFormat="1" x14ac:dyDescent="0.25"/>
    <row r="509" s="89" customFormat="1" x14ac:dyDescent="0.25"/>
    <row r="510" s="89" customFormat="1" x14ac:dyDescent="0.25"/>
    <row r="511" s="89" customFormat="1" x14ac:dyDescent="0.25"/>
    <row r="512" s="89" customFormat="1" x14ac:dyDescent="0.25"/>
    <row r="513" s="89" customFormat="1" x14ac:dyDescent="0.25"/>
    <row r="514" s="89" customFormat="1" x14ac:dyDescent="0.25"/>
    <row r="515" s="89" customFormat="1" x14ac:dyDescent="0.25"/>
    <row r="516" s="89" customFormat="1" x14ac:dyDescent="0.25"/>
    <row r="517" s="89" customFormat="1" x14ac:dyDescent="0.25"/>
    <row r="518" s="89" customFormat="1" x14ac:dyDescent="0.25"/>
    <row r="519" s="89" customFormat="1" x14ac:dyDescent="0.25"/>
    <row r="520" s="89" customFormat="1" x14ac:dyDescent="0.25"/>
    <row r="521" s="89" customFormat="1" x14ac:dyDescent="0.25"/>
    <row r="522" s="89" customFormat="1" x14ac:dyDescent="0.25"/>
    <row r="523" s="89" customFormat="1" x14ac:dyDescent="0.25"/>
    <row r="524" s="89" customFormat="1" x14ac:dyDescent="0.25"/>
    <row r="525" s="89" customFormat="1" x14ac:dyDescent="0.25"/>
    <row r="526" s="89" customFormat="1" x14ac:dyDescent="0.25"/>
    <row r="527" s="89" customFormat="1" x14ac:dyDescent="0.25"/>
  </sheetData>
  <mergeCells count="80">
    <mergeCell ref="B113:D113"/>
    <mergeCell ref="B139:D144"/>
    <mergeCell ref="B159:D159"/>
    <mergeCell ref="B186:D191"/>
    <mergeCell ref="B206:D206"/>
    <mergeCell ref="G366:I371"/>
    <mergeCell ref="G386:I386"/>
    <mergeCell ref="G412:I417"/>
    <mergeCell ref="G432:I432"/>
    <mergeCell ref="G295:I295"/>
    <mergeCell ref="G321:I326"/>
    <mergeCell ref="G341:I341"/>
    <mergeCell ref="R432:T432"/>
    <mergeCell ref="R366:T371"/>
    <mergeCell ref="R93:T98"/>
    <mergeCell ref="R113:T113"/>
    <mergeCell ref="R139:T144"/>
    <mergeCell ref="R341:T341"/>
    <mergeCell ref="R386:T386"/>
    <mergeCell ref="R412:T417"/>
    <mergeCell ref="R321:T326"/>
    <mergeCell ref="R230:T235"/>
    <mergeCell ref="R250:T250"/>
    <mergeCell ref="R275:T280"/>
    <mergeCell ref="R295:T295"/>
    <mergeCell ref="R2:T7"/>
    <mergeCell ref="R47:T52"/>
    <mergeCell ref="R186:T191"/>
    <mergeCell ref="R206:T206"/>
    <mergeCell ref="R159:T159"/>
    <mergeCell ref="R67:T67"/>
    <mergeCell ref="R22:T22"/>
    <mergeCell ref="L230:N235"/>
    <mergeCell ref="L250:N250"/>
    <mergeCell ref="L275:N280"/>
    <mergeCell ref="L295:N295"/>
    <mergeCell ref="L321:N326"/>
    <mergeCell ref="G230:I235"/>
    <mergeCell ref="G250:I250"/>
    <mergeCell ref="G275:I280"/>
    <mergeCell ref="B2:D7"/>
    <mergeCell ref="B22:D22"/>
    <mergeCell ref="B47:D52"/>
    <mergeCell ref="B67:D67"/>
    <mergeCell ref="B93:D98"/>
    <mergeCell ref="G113:I113"/>
    <mergeCell ref="G139:I144"/>
    <mergeCell ref="G159:I159"/>
    <mergeCell ref="G186:I191"/>
    <mergeCell ref="G206:I206"/>
    <mergeCell ref="G2:I7"/>
    <mergeCell ref="G22:I22"/>
    <mergeCell ref="G47:I52"/>
    <mergeCell ref="G67:I67"/>
    <mergeCell ref="G93:I98"/>
    <mergeCell ref="L2:N7"/>
    <mergeCell ref="L22:N22"/>
    <mergeCell ref="L47:N52"/>
    <mergeCell ref="L67:N67"/>
    <mergeCell ref="L93:N98"/>
    <mergeCell ref="L113:N113"/>
    <mergeCell ref="L139:N144"/>
    <mergeCell ref="L159:N159"/>
    <mergeCell ref="L186:N191"/>
    <mergeCell ref="L206:N206"/>
    <mergeCell ref="L341:N341"/>
    <mergeCell ref="L366:N371"/>
    <mergeCell ref="L386:N386"/>
    <mergeCell ref="L412:N417"/>
    <mergeCell ref="L432:N432"/>
    <mergeCell ref="B230:D235"/>
    <mergeCell ref="B250:D250"/>
    <mergeCell ref="B275:D280"/>
    <mergeCell ref="B412:D417"/>
    <mergeCell ref="B432:D432"/>
    <mergeCell ref="B295:D295"/>
    <mergeCell ref="B321:D326"/>
    <mergeCell ref="B341:D341"/>
    <mergeCell ref="B366:D371"/>
    <mergeCell ref="B386:D386"/>
  </mergeCells>
  <pageMargins left="0.62992125984251968" right="0.51181102362204722" top="0.31496062992125984" bottom="0.74803149606299213" header="0.27559055118110237" footer="0.27559055118110237"/>
  <pageSetup paperSize="9" scale="84" orientation="portrait" r:id="rId1"/>
  <rowBreaks count="9" manualBreakCount="9">
    <brk id="45" max="19" man="1"/>
    <brk id="90" max="19" man="1"/>
    <brk id="136" max="19" man="1"/>
    <brk id="182" max="19" man="1"/>
    <brk id="227" max="19" man="1"/>
    <brk id="272" max="19" man="1"/>
    <brk id="318" max="19" man="1"/>
    <brk id="364" max="19" man="1"/>
    <brk id="409" max="19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Motorista NÃO Cadastrado!" error="Verificar Motorista não esta cadastrado!!! " xr:uid="{ADBCD3C1-9F9D-4515-B766-279E997ED91A}">
          <x14:formula1>
            <xm:f>'BANCO DE DADOS'!$B$2:$B$1001</xm:f>
          </x14:formula1>
          <xm:sqref>C23 C68 C114 C160 C207 C251 C296 C342 C387 C433 H23 H68 H114 H160 H207 H251 H296 H342 H387 H433 M23 M68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13FABA17B6824CA8F2CAB1BD6090FB" ma:contentTypeVersion="18" ma:contentTypeDescription="Crie um novo documento." ma:contentTypeScope="" ma:versionID="d3568a8e6e70d6ce7d0e8f1a4c261bed">
  <xsd:schema xmlns:xsd="http://www.w3.org/2001/XMLSchema" xmlns:xs="http://www.w3.org/2001/XMLSchema" xmlns:p="http://schemas.microsoft.com/office/2006/metadata/properties" xmlns:ns1="http://schemas.microsoft.com/sharepoint/v3" xmlns:ns2="72f212ec-058d-4a14-9289-6a25cfdf7311" xmlns:ns3="80e792ed-da28-4e5f-91c9-797ab6fbcef5" targetNamespace="http://schemas.microsoft.com/office/2006/metadata/properties" ma:root="true" ma:fieldsID="bdcde03c23b7256e2cfcb31f0dbd65af" ns1:_="" ns2:_="" ns3:_="">
    <xsd:import namespace="http://schemas.microsoft.com/sharepoint/v3"/>
    <xsd:import namespace="72f212ec-058d-4a14-9289-6a25cfdf7311"/>
    <xsd:import namespace="80e792ed-da28-4e5f-91c9-797ab6fbc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Flow_SignoffStatu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f212ec-058d-4a14-9289-6a25cfdf73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0d490c8d-49d7-43ec-a66d-aa0639bd2b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e792ed-da28-4e5f-91c9-797ab6fbc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0da330f-3f69-4c17-9fa0-003e9298d84a}" ma:internalName="TaxCatchAll" ma:showField="CatchAllData" ma:web="80e792ed-da28-4e5f-91c9-797ab6fbc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2f212ec-058d-4a14-9289-6a25cfdf7311">
      <Terms xmlns="http://schemas.microsoft.com/office/infopath/2007/PartnerControls"/>
    </lcf76f155ced4ddcb4097134ff3c332f>
    <TaxCatchAll xmlns="80e792ed-da28-4e5f-91c9-797ab6fbcef5" xsi:nil="true"/>
    <_Flow_SignoffStatus xmlns="72f212ec-058d-4a14-9289-6a25cfdf7311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6E8EEAD-6DCD-4D1B-879E-98D0B861E7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2f212ec-058d-4a14-9289-6a25cfdf7311"/>
    <ds:schemaRef ds:uri="80e792ed-da28-4e5f-91c9-797ab6fbce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054A7DA-2F4B-46C3-AA37-0FB281DC4C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F9AF983-746D-40B4-B275-DD4E9DC140E6}">
  <ds:schemaRefs>
    <ds:schemaRef ds:uri="http://schemas.microsoft.com/office/2006/metadata/properties"/>
    <ds:schemaRef ds:uri="http://schemas.microsoft.com/office/infopath/2007/PartnerControls"/>
    <ds:schemaRef ds:uri="72f212ec-058d-4a14-9289-6a25cfdf7311"/>
    <ds:schemaRef ds:uri="80e792ed-da28-4e5f-91c9-797ab6fbcef5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3</vt:i4>
      </vt:variant>
    </vt:vector>
  </HeadingPairs>
  <TitlesOfParts>
    <vt:vector size="10" baseType="lpstr">
      <vt:lpstr>TEL. MADER</vt:lpstr>
      <vt:lpstr>TEL. VC CARGAS</vt:lpstr>
      <vt:lpstr>TEL OUTROS</vt:lpstr>
      <vt:lpstr>MODELO</vt:lpstr>
      <vt:lpstr>BANCO DE DADOS</vt:lpstr>
      <vt:lpstr>IMPRESSÃO</vt:lpstr>
      <vt:lpstr>IMPRESSÃO-CAPA</vt:lpstr>
      <vt:lpstr>IMPRESSÃO!Area_de_impressao</vt:lpstr>
      <vt:lpstr>'IMPRESSÃO-CAPA'!Area_de_impressao</vt:lpstr>
      <vt:lpstr>MOTORISTAS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elisa.frade</dc:creator>
  <cp:keywords/>
  <dc:description/>
  <cp:lastModifiedBy>Gabriel Oliveira Silva</cp:lastModifiedBy>
  <cp:revision/>
  <dcterms:created xsi:type="dcterms:W3CDTF">2016-05-31T13:12:00Z</dcterms:created>
  <dcterms:modified xsi:type="dcterms:W3CDTF">2026-01-06T10:26:19Z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0x010100F513FABA17B6824CA8F2CAB1BD6090FB</vt:lpwstr>
  </property>
  <property fmtid="{D5CDD505-2E9C-101B-9397-08002B2CF9AE}" pid="3" name="Order">
    <vt:r8>9282800</vt:r8>
  </property>
  <property fmtid="{D5CDD505-2E9C-101B-9397-08002B2CF9AE}" pid="4" name="MediaServiceImageTags">
    <vt:lpwstr/>
  </property>
</Properties>
</file>